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6D0DA28-0819-462C-BADD-B2F4FF8FB3C2}" xr6:coauthVersionLast="47" xr6:coauthVersionMax="47" xr10:uidLastSave="{00000000-0000-0000-0000-000000000000}"/>
  <bookViews>
    <workbookView xWindow="-110" yWindow="-110" windowWidth="19420" windowHeight="11500" xr2:uid="{8F84BECB-770F-4A31-89E6-A9B9489DF68F}"/>
  </bookViews>
  <sheets>
    <sheet name="Sheet2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46" i="2" l="1"/>
  <c r="V46" i="2"/>
  <c r="U46" i="2"/>
  <c r="P46" i="2"/>
  <c r="O46" i="2"/>
  <c r="N46" i="2"/>
  <c r="I46" i="2"/>
  <c r="H46" i="2"/>
  <c r="G46" i="2"/>
  <c r="W45" i="2"/>
  <c r="V45" i="2"/>
  <c r="U45" i="2"/>
  <c r="P45" i="2"/>
  <c r="O45" i="2"/>
  <c r="N45" i="2"/>
  <c r="I45" i="2"/>
  <c r="H45" i="2"/>
  <c r="G45" i="2"/>
  <c r="W44" i="2"/>
  <c r="V44" i="2"/>
  <c r="U44" i="2"/>
  <c r="P44" i="2"/>
  <c r="O44" i="2"/>
  <c r="N44" i="2"/>
  <c r="I44" i="2"/>
  <c r="H44" i="2"/>
  <c r="G44" i="2"/>
  <c r="W43" i="2"/>
  <c r="V43" i="2"/>
  <c r="U43" i="2"/>
  <c r="P43" i="2"/>
  <c r="O43" i="2"/>
  <c r="N43" i="2"/>
  <c r="I43" i="2"/>
  <c r="H43" i="2" s="1"/>
  <c r="G43" i="2" s="1"/>
  <c r="W42" i="2"/>
  <c r="U42" i="2"/>
  <c r="P42" i="2"/>
  <c r="N42" i="2"/>
  <c r="I42" i="2"/>
  <c r="G42" i="2"/>
  <c r="W41" i="2"/>
  <c r="U41" i="2"/>
  <c r="P41" i="2"/>
  <c r="N41" i="2"/>
  <c r="I41" i="2"/>
  <c r="G41" i="2"/>
  <c r="W40" i="2"/>
  <c r="U40" i="2"/>
  <c r="P40" i="2"/>
  <c r="N40" i="2"/>
  <c r="I40" i="2"/>
  <c r="G40" i="2"/>
  <c r="W39" i="2"/>
  <c r="U39" i="2" s="1"/>
  <c r="P39" i="2"/>
  <c r="N39" i="2" s="1"/>
  <c r="I39" i="2"/>
  <c r="G39" i="2" s="1"/>
  <c r="U38" i="2"/>
  <c r="N38" i="2"/>
  <c r="G38" i="2"/>
  <c r="W37" i="2"/>
  <c r="U37" i="2" s="1"/>
  <c r="P37" i="2"/>
  <c r="N37" i="2" s="1"/>
  <c r="I37" i="2"/>
  <c r="G37" i="2" s="1"/>
  <c r="W36" i="2"/>
  <c r="U36" i="2" s="1"/>
  <c r="P36" i="2"/>
  <c r="N36" i="2" s="1"/>
  <c r="I36" i="2"/>
  <c r="G36" i="2" s="1"/>
  <c r="U35" i="2"/>
  <c r="N35" i="2"/>
  <c r="G35" i="2"/>
  <c r="W31" i="2"/>
  <c r="V31" i="2" s="1"/>
  <c r="U31" i="2" s="1"/>
  <c r="P31" i="2"/>
  <c r="O31" i="2" s="1"/>
  <c r="N31" i="2" s="1"/>
  <c r="I31" i="2"/>
  <c r="H31" i="2"/>
  <c r="G31" i="2"/>
  <c r="W30" i="2"/>
  <c r="V30" i="2" s="1"/>
  <c r="U30" i="2" s="1"/>
  <c r="P30" i="2"/>
  <c r="O30" i="2" s="1"/>
  <c r="N30" i="2" s="1"/>
  <c r="I30" i="2"/>
  <c r="H30" i="2"/>
  <c r="G30" i="2"/>
  <c r="W29" i="2"/>
  <c r="V29" i="2" s="1"/>
  <c r="U29" i="2" s="1"/>
  <c r="P29" i="2"/>
  <c r="I29" i="2"/>
  <c r="G20" i="2" s="1"/>
  <c r="H29" i="2"/>
  <c r="G29" i="2"/>
  <c r="G32" i="2" s="1"/>
  <c r="W28" i="2"/>
  <c r="P28" i="2"/>
  <c r="O28" i="2"/>
  <c r="N28" i="2"/>
  <c r="I28" i="2"/>
  <c r="H28" i="2"/>
  <c r="G28" i="2"/>
  <c r="W27" i="2"/>
  <c r="U27" i="2"/>
  <c r="P27" i="2"/>
  <c r="N27" i="2"/>
  <c r="I27" i="2"/>
  <c r="G27" i="2"/>
  <c r="W26" i="2"/>
  <c r="U26" i="2"/>
  <c r="P26" i="2"/>
  <c r="N26" i="2"/>
  <c r="I26" i="2"/>
  <c r="G26" i="2"/>
  <c r="W25" i="2"/>
  <c r="U25" i="2"/>
  <c r="P25" i="2"/>
  <c r="N25" i="2"/>
  <c r="I25" i="2"/>
  <c r="G25" i="2"/>
  <c r="W24" i="2"/>
  <c r="U24" i="2"/>
  <c r="P24" i="2"/>
  <c r="N24" i="2"/>
  <c r="I24" i="2"/>
  <c r="G24" i="2"/>
  <c r="U23" i="2"/>
  <c r="N23" i="2"/>
  <c r="G23" i="2"/>
  <c r="W22" i="2"/>
  <c r="U22" i="2"/>
  <c r="P22" i="2"/>
  <c r="N22" i="2" s="1"/>
  <c r="I22" i="2"/>
  <c r="G22" i="2"/>
  <c r="W21" i="2"/>
  <c r="U21" i="2"/>
  <c r="P21" i="2"/>
  <c r="N21" i="2"/>
  <c r="I21" i="2"/>
  <c r="G21" i="2"/>
  <c r="AB17" i="2"/>
  <c r="AA17" i="2"/>
  <c r="Z17" i="2"/>
  <c r="W16" i="2"/>
  <c r="V16" i="2"/>
  <c r="U16" i="2"/>
  <c r="P16" i="2"/>
  <c r="O16" i="2"/>
  <c r="N16" i="2"/>
  <c r="I16" i="2"/>
  <c r="H16" i="2"/>
  <c r="G16" i="2"/>
  <c r="W15" i="2"/>
  <c r="V15" i="2"/>
  <c r="U15" i="2"/>
  <c r="P15" i="2"/>
  <c r="O15" i="2"/>
  <c r="N15" i="2"/>
  <c r="I15" i="2"/>
  <c r="H15" i="2"/>
  <c r="G15" i="2"/>
  <c r="W14" i="2"/>
  <c r="V14" i="2"/>
  <c r="U14" i="2" s="1"/>
  <c r="P14" i="2"/>
  <c r="O14" i="2"/>
  <c r="N14" i="2"/>
  <c r="I14" i="2"/>
  <c r="H14" i="2"/>
  <c r="G14" i="2"/>
  <c r="W13" i="2"/>
  <c r="U5" i="2" s="1"/>
  <c r="V13" i="2"/>
  <c r="U13" i="2"/>
  <c r="P13" i="2"/>
  <c r="I13" i="2"/>
  <c r="W12" i="2"/>
  <c r="U12" i="2"/>
  <c r="P12" i="2"/>
  <c r="N12" i="2"/>
  <c r="I12" i="2"/>
  <c r="G12" i="2"/>
  <c r="W11" i="2"/>
  <c r="U11" i="2"/>
  <c r="P11" i="2"/>
  <c r="N11" i="2"/>
  <c r="I11" i="2"/>
  <c r="G11" i="2"/>
  <c r="W10" i="2"/>
  <c r="U10" i="2"/>
  <c r="U17" i="2" s="1"/>
  <c r="P10" i="2"/>
  <c r="N10" i="2"/>
  <c r="I10" i="2"/>
  <c r="G10" i="2"/>
  <c r="W9" i="2"/>
  <c r="U9" i="2" s="1"/>
  <c r="P9" i="2"/>
  <c r="N9" i="2"/>
  <c r="I9" i="2"/>
  <c r="G9" i="2"/>
  <c r="U8" i="2"/>
  <c r="N8" i="2"/>
  <c r="G8" i="2"/>
  <c r="W7" i="2"/>
  <c r="U7" i="2"/>
  <c r="P7" i="2"/>
  <c r="N7" i="2"/>
  <c r="I7" i="2"/>
  <c r="G7" i="2"/>
  <c r="W6" i="2"/>
  <c r="U6" i="2"/>
  <c r="P6" i="2"/>
  <c r="N6" i="2"/>
  <c r="I6" i="2"/>
  <c r="G6" i="2"/>
  <c r="N20" i="2" l="1"/>
  <c r="O29" i="2"/>
  <c r="N29" i="2" s="1"/>
  <c r="N32" i="2" s="1"/>
  <c r="U20" i="2"/>
  <c r="V28" i="2"/>
  <c r="U28" i="2" s="1"/>
  <c r="U32" i="2" s="1"/>
  <c r="N5" i="2"/>
  <c r="O13" i="2"/>
  <c r="N13" i="2" s="1"/>
  <c r="N17" i="2" s="1"/>
  <c r="G5" i="2"/>
  <c r="H13" i="2"/>
  <c r="G13" i="2" s="1"/>
  <c r="G17" i="2" s="1"/>
  <c r="U47" i="2"/>
  <c r="N47" i="2"/>
  <c r="G4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55732583-EAAF-4A3C-979F-7E006709D1FA}">
      <text>
        <r>
          <rPr>
            <sz val="10"/>
            <rFont val="Noto Sans CJK SC"/>
            <family val="2"/>
          </rPr>
          <t>월만 바꾸면 아래 집계와 분개표가 자동 변경됩니다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예</t>
        </r>
        <r>
          <rPr>
            <sz val="10"/>
            <rFont val="Arial"/>
            <family val="2"/>
          </rPr>
          <t>: 1</t>
        </r>
        <r>
          <rPr>
            <sz val="10"/>
            <rFont val="Noto Sans CJK SC"/>
            <family val="2"/>
          </rPr>
          <t>월</t>
        </r>
        <r>
          <rPr>
            <sz val="10"/>
            <rFont val="Arial"/>
            <family val="2"/>
          </rPr>
          <t>, 2</t>
        </r>
        <r>
          <rPr>
            <sz val="10"/>
            <rFont val="Noto Sans CJK SC"/>
            <family val="2"/>
          </rPr>
          <t>월</t>
        </r>
        <r>
          <rPr>
            <sz val="10"/>
            <rFont val="Arial"/>
            <family val="2"/>
          </rPr>
          <t>, 3</t>
        </r>
        <r>
          <rPr>
            <sz val="10"/>
            <rFont val="Noto Sans CJK SC"/>
            <family val="2"/>
          </rPr>
          <t>월</t>
        </r>
      </text>
    </comment>
  </commentList>
</comments>
</file>

<file path=xl/sharedStrings.xml><?xml version="1.0" encoding="utf-8"?>
<sst xmlns="http://schemas.openxmlformats.org/spreadsheetml/2006/main" count="350" uniqueCount="42">
  <si>
    <t>플랫폼</t>
  </si>
  <si>
    <t>제품유형</t>
  </si>
  <si>
    <t>신용카드</t>
  </si>
  <si>
    <t>현금영수증</t>
  </si>
  <si>
    <t>세금계산서</t>
  </si>
  <si>
    <t>기타</t>
  </si>
  <si>
    <t>SSG</t>
  </si>
  <si>
    <t>제품</t>
  </si>
  <si>
    <t>네이버</t>
  </si>
  <si>
    <t>부가제품</t>
  </si>
  <si>
    <t>오므론</t>
  </si>
  <si>
    <t>제품취소</t>
  </si>
  <si>
    <t>사이즈미정</t>
  </si>
  <si>
    <t>지마켓</t>
  </si>
  <si>
    <t>카페24</t>
  </si>
  <si>
    <t>쿠팡</t>
  </si>
  <si>
    <t>배송비</t>
  </si>
  <si>
    <r>
      <rPr>
        <sz val="11"/>
        <color theme="1"/>
        <rFont val="맑은 고딕"/>
        <family val="2"/>
        <charset val="129"/>
        <scheme val="minor"/>
      </rPr>
      <t>11</t>
    </r>
    <r>
      <rPr>
        <sz val="11"/>
        <color theme="1"/>
        <rFont val="Noto Sans CJK SC"/>
        <family val="2"/>
      </rPr>
      <t>번가</t>
    </r>
  </si>
  <si>
    <t>옥션</t>
  </si>
  <si>
    <t>제품확정</t>
  </si>
  <si>
    <t>베네피아</t>
  </si>
  <si>
    <t>현대홈쇼핑</t>
  </si>
  <si>
    <t>기준월</t>
  </si>
  <si>
    <t>8월</t>
  </si>
  <si>
    <t>차/대</t>
  </si>
  <si>
    <t>계정과목</t>
  </si>
  <si>
    <t>금액</t>
  </si>
  <si>
    <t>공금가액</t>
  </si>
  <si>
    <t>공급대가</t>
  </si>
  <si>
    <t>아마란스_잔액</t>
  </si>
  <si>
    <t>차변</t>
  </si>
  <si>
    <t>외상매출금</t>
  </si>
  <si>
    <t>선수금</t>
  </si>
  <si>
    <t>수수료</t>
  </si>
  <si>
    <r>
      <rPr>
        <sz val="11"/>
        <color theme="1"/>
        <rFont val="맑은 고딕"/>
        <family val="2"/>
        <charset val="129"/>
        <scheme val="minor"/>
      </rPr>
      <t>(KG/</t>
    </r>
    <r>
      <rPr>
        <sz val="11"/>
        <color theme="1"/>
        <rFont val="Noto Sans CJK SC"/>
        <family val="2"/>
      </rPr>
      <t>네오</t>
    </r>
    <r>
      <rPr>
        <sz val="11"/>
        <color theme="1"/>
        <rFont val="맑은 고딕"/>
        <family val="2"/>
        <charset val="129"/>
        <scheme val="minor"/>
      </rPr>
      <t>)</t>
    </r>
  </si>
  <si>
    <t>대변</t>
  </si>
  <si>
    <t>제품매출</t>
  </si>
  <si>
    <t>제품매출(취소)</t>
  </si>
  <si>
    <t>(SK M&amp;N)</t>
  </si>
  <si>
    <t>부가세예수금</t>
  </si>
  <si>
    <t>수수료(차액)</t>
  </si>
  <si>
    <r>
      <rPr>
        <b/>
        <sz val="9"/>
        <rFont val="맑은 고딕"/>
        <family val="3"/>
        <charset val="129"/>
      </rPr>
      <t>11</t>
    </r>
    <r>
      <rPr>
        <b/>
        <sz val="9"/>
        <rFont val="Noto Sans CJK SC"/>
        <family val="2"/>
      </rPr>
      <t>번가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</si>
</sst>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_-* #,##0_-;\-* #,##0_-;_-* \-_-;_-@_-"/>
  </numFmts>
  <fonts count="24">
    <font>
      <sz val="11"/>
      <color theme="1"/>
      <name val="맑은 고딕"/>
      <family val="2"/>
      <charset val="129"/>
      <scheme val="minor"/>
    </font>
    <font>
      <b/>
      <sz val="11"/>
      <color rgb="FFFFFFFF"/>
      <name val="Noto Sans CJK SC"/>
      <family val="2"/>
      <charset val="1"/>
    </font>
    <font>
      <sz val="8"/>
      <name val="맑은 고딕"/>
      <family val="2"/>
      <charset val="129"/>
      <scheme val="minor"/>
    </font>
    <font>
      <sz val="11"/>
      <color theme="1"/>
      <name val="Noto Sans CJK SC"/>
      <family val="2"/>
      <charset val="1"/>
    </font>
    <font>
      <sz val="11"/>
      <color theme="1"/>
      <name val="Noto Sans CJK SC"/>
      <family val="2"/>
    </font>
    <font>
      <sz val="10"/>
      <name val="Arial"/>
      <family val="2"/>
      <charset val="1"/>
    </font>
    <font>
      <sz val="10"/>
      <color theme="1"/>
      <name val="맑은 고딕"/>
      <family val="2"/>
      <charset val="129"/>
    </font>
    <font>
      <b/>
      <i/>
      <sz val="11"/>
      <color rgb="FFFF0000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11"/>
      <color theme="0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sz val="9"/>
      <name val="맑은 고딕"/>
      <family val="3"/>
      <charset val="129"/>
    </font>
    <font>
      <b/>
      <sz val="9"/>
      <name val="Noto Sans CJK SC"/>
      <family val="2"/>
      <charset val="1"/>
    </font>
    <font>
      <sz val="9"/>
      <name val="Noto Sans CJK SC"/>
      <family val="2"/>
      <charset val="1"/>
    </font>
    <font>
      <sz val="9"/>
      <color theme="0"/>
      <name val="맑은 고딕"/>
      <family val="3"/>
      <charset val="129"/>
    </font>
    <font>
      <b/>
      <sz val="9"/>
      <name val="맑은 고딕"/>
      <family val="3"/>
      <charset val="129"/>
    </font>
    <font>
      <sz val="9"/>
      <color rgb="FF0070C0"/>
      <name val="맑은 고딕"/>
      <family val="3"/>
      <charset val="129"/>
    </font>
    <font>
      <sz val="9"/>
      <color rgb="FF0070C0"/>
      <name val="Noto Sans CJK SC"/>
      <family val="2"/>
      <charset val="1"/>
    </font>
    <font>
      <sz val="9"/>
      <color rgb="FFFF0000"/>
      <name val="맑은 고딕"/>
      <family val="3"/>
      <charset val="129"/>
    </font>
    <font>
      <sz val="9"/>
      <color rgb="FFFF0000"/>
      <name val="Noto Sans CJK SC"/>
      <family val="2"/>
      <charset val="1"/>
    </font>
    <font>
      <b/>
      <sz val="11"/>
      <color theme="0"/>
      <name val="맑은 고딕"/>
      <family val="3"/>
      <charset val="129"/>
    </font>
    <font>
      <b/>
      <sz val="9"/>
      <name val="Noto Sans CJK SC"/>
      <family val="2"/>
    </font>
    <font>
      <sz val="10"/>
      <name val="Noto Sans CJK SC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5B9BD5"/>
        <bgColor rgb="FF4E95D9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C000"/>
      </patternFill>
    </fill>
    <fill>
      <patternFill patternType="solid">
        <fgColor theme="3" tint="0.49967955565050204"/>
        <bgColor rgb="FF5B9BD5"/>
      </patternFill>
    </fill>
    <fill>
      <patternFill patternType="solid">
        <fgColor rgb="FF1F4E78"/>
        <bgColor rgb="FF163E64"/>
      </patternFill>
    </fill>
    <fill>
      <patternFill patternType="solid">
        <fgColor theme="0"/>
        <bgColor rgb="FFF3FAFF"/>
      </patternFill>
    </fill>
    <fill>
      <patternFill patternType="solid">
        <fgColor rgb="FFF3FAFF"/>
        <bgColor rgb="FFF2F2F2"/>
      </patternFill>
    </fill>
    <fill>
      <patternFill patternType="solid">
        <fgColor theme="3" tint="0.89989928891872917"/>
        <bgColor rgb="FFDDEBF7"/>
      </patternFill>
    </fill>
    <fill>
      <patternFill patternType="solid">
        <fgColor theme="3" tint="9.9795525986510814E-2"/>
        <bgColor rgb="FF1F4E78"/>
      </patternFill>
    </fill>
  </fills>
  <borders count="18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medium">
        <color rgb="FF1F4E78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theme="0"/>
      </right>
      <top style="medium">
        <color rgb="FF1F4E78"/>
      </top>
      <bottom style="medium">
        <color rgb="FF1F4E78"/>
      </bottom>
      <diagonal/>
    </border>
    <border>
      <left style="thin">
        <color theme="0"/>
      </left>
      <right style="thin">
        <color theme="0"/>
      </right>
      <top style="medium">
        <color rgb="FF1F4E78"/>
      </top>
      <bottom style="medium">
        <color rgb="FF1F4E78"/>
      </bottom>
      <diagonal/>
    </border>
    <border>
      <left style="thin">
        <color theme="0"/>
      </left>
      <right/>
      <top style="medium">
        <color rgb="FF1F4E78"/>
      </top>
      <bottom style="medium">
        <color rgb="FF1F4E78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/>
    <xf numFmtId="177" fontId="5" fillId="0" borderId="0" xfId="0" applyNumberFormat="1" applyFont="1">
      <alignment vertical="center"/>
    </xf>
    <xf numFmtId="177" fontId="0" fillId="0" borderId="0" xfId="0" applyNumberFormat="1">
      <alignment vertical="center"/>
    </xf>
    <xf numFmtId="176" fontId="1" fillId="2" borderId="0" xfId="0" applyNumberFormat="1" applyFont="1" applyFill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176" fontId="1" fillId="2" borderId="1" xfId="0" applyNumberFormat="1" applyFont="1" applyFill="1" applyBorder="1" applyAlignment="1">
      <alignment horizontal="center"/>
    </xf>
    <xf numFmtId="176" fontId="1" fillId="2" borderId="3" xfId="0" applyNumberFormat="1" applyFont="1" applyFill="1" applyBorder="1" applyAlignment="1">
      <alignment horizontal="center"/>
    </xf>
    <xf numFmtId="176" fontId="9" fillId="5" borderId="1" xfId="0" applyNumberFormat="1" applyFont="1" applyFill="1" applyBorder="1" applyAlignment="1">
      <alignment horizontal="center"/>
    </xf>
    <xf numFmtId="176" fontId="9" fillId="5" borderId="4" xfId="0" applyNumberFormat="1" applyFont="1" applyFill="1" applyBorder="1" applyAlignment="1">
      <alignment horizontal="center"/>
    </xf>
    <xf numFmtId="176" fontId="10" fillId="6" borderId="5" xfId="0" applyNumberFormat="1" applyFont="1" applyFill="1" applyBorder="1" applyAlignment="1">
      <alignment horizontal="center" vertical="center" wrapText="1"/>
    </xf>
    <xf numFmtId="176" fontId="10" fillId="6" borderId="6" xfId="0" applyNumberFormat="1" applyFont="1" applyFill="1" applyBorder="1" applyAlignment="1">
      <alignment horizontal="center" vertical="center" wrapText="1"/>
    </xf>
    <xf numFmtId="176" fontId="11" fillId="7" borderId="7" xfId="0" applyNumberFormat="1" applyFont="1" applyFill="1" applyBorder="1" applyAlignment="1">
      <alignment horizontal="center" vertical="center"/>
    </xf>
    <xf numFmtId="176" fontId="11" fillId="7" borderId="4" xfId="0" applyNumberFormat="1" applyFont="1" applyFill="1" applyBorder="1" applyAlignment="1">
      <alignment horizontal="center" vertical="center"/>
    </xf>
    <xf numFmtId="176" fontId="12" fillId="8" borderId="8" xfId="0" applyNumberFormat="1" applyFont="1" applyFill="1" applyBorder="1" applyAlignment="1">
      <alignment horizontal="center" vertical="center"/>
    </xf>
    <xf numFmtId="176" fontId="13" fillId="8" borderId="1" xfId="0" applyNumberFormat="1" applyFont="1" applyFill="1" applyBorder="1" applyAlignment="1">
      <alignment horizontal="center" vertical="center"/>
    </xf>
    <xf numFmtId="176" fontId="13" fillId="8" borderId="1" xfId="0" applyNumberFormat="1" applyFont="1" applyFill="1" applyBorder="1" applyAlignment="1">
      <alignment horizontal="left" vertical="center"/>
    </xf>
    <xf numFmtId="176" fontId="11" fillId="8" borderId="3" xfId="0" applyNumberFormat="1" applyFont="1" applyFill="1" applyBorder="1" applyAlignment="1">
      <alignment horizontal="right" vertical="center"/>
    </xf>
    <xf numFmtId="176" fontId="14" fillId="5" borderId="1" xfId="0" applyNumberFormat="1" applyFont="1" applyFill="1" applyBorder="1" applyAlignment="1">
      <alignment horizontal="center" vertical="center"/>
    </xf>
    <xf numFmtId="176" fontId="14" fillId="5" borderId="4" xfId="0" applyNumberFormat="1" applyFont="1" applyFill="1" applyBorder="1" applyAlignment="1">
      <alignment horizontal="center" vertical="center"/>
    </xf>
    <xf numFmtId="176" fontId="10" fillId="6" borderId="9" xfId="0" applyNumberFormat="1" applyFont="1" applyFill="1" applyBorder="1" applyAlignment="1">
      <alignment horizontal="center" vertical="center" wrapText="1"/>
    </xf>
    <xf numFmtId="176" fontId="10" fillId="6" borderId="10" xfId="0" applyNumberFormat="1" applyFont="1" applyFill="1" applyBorder="1" applyAlignment="1">
      <alignment horizontal="center" vertical="center" wrapText="1"/>
    </xf>
    <xf numFmtId="176" fontId="13" fillId="7" borderId="4" xfId="0" applyNumberFormat="1" applyFont="1" applyFill="1" applyBorder="1" applyAlignment="1">
      <alignment horizontal="center" vertical="center"/>
    </xf>
    <xf numFmtId="176" fontId="15" fillId="8" borderId="11" xfId="0" applyNumberFormat="1" applyFont="1" applyFill="1" applyBorder="1">
      <alignment vertical="center"/>
    </xf>
    <xf numFmtId="0" fontId="3" fillId="9" borderId="12" xfId="0" applyFont="1" applyFill="1" applyBorder="1" applyAlignment="1">
      <alignment horizontal="center" vertical="center"/>
    </xf>
    <xf numFmtId="177" fontId="5" fillId="9" borderId="12" xfId="0" applyNumberFormat="1" applyFont="1" applyFill="1" applyBorder="1">
      <alignment vertical="center"/>
    </xf>
    <xf numFmtId="0" fontId="3" fillId="9" borderId="13" xfId="0" applyFont="1" applyFill="1" applyBorder="1" applyAlignment="1">
      <alignment horizontal="center" vertical="center"/>
    </xf>
    <xf numFmtId="177" fontId="5" fillId="9" borderId="13" xfId="0" applyNumberFormat="1" applyFont="1" applyFill="1" applyBorder="1">
      <alignment vertical="center"/>
    </xf>
    <xf numFmtId="0" fontId="0" fillId="9" borderId="13" xfId="0" applyFill="1" applyBorder="1" applyAlignment="1">
      <alignment horizontal="center" vertical="center"/>
    </xf>
    <xf numFmtId="176" fontId="16" fillId="7" borderId="7" xfId="0" applyNumberFormat="1" applyFont="1" applyFill="1" applyBorder="1" applyAlignment="1">
      <alignment horizontal="center" vertical="center"/>
    </xf>
    <xf numFmtId="176" fontId="17" fillId="7" borderId="4" xfId="0" applyNumberFormat="1" applyFont="1" applyFill="1" applyBorder="1" applyAlignment="1">
      <alignment horizontal="center" vertical="center"/>
    </xf>
    <xf numFmtId="176" fontId="17" fillId="8" borderId="1" xfId="0" applyNumberFormat="1" applyFont="1" applyFill="1" applyBorder="1" applyAlignment="1">
      <alignment horizontal="center" vertical="center"/>
    </xf>
    <xf numFmtId="176" fontId="17" fillId="8" borderId="1" xfId="0" applyNumberFormat="1" applyFont="1" applyFill="1" applyBorder="1" applyAlignment="1">
      <alignment horizontal="left" vertical="center"/>
    </xf>
    <xf numFmtId="176" fontId="16" fillId="8" borderId="3" xfId="0" applyNumberFormat="1" applyFont="1" applyFill="1" applyBorder="1" applyAlignment="1">
      <alignment horizontal="right" vertical="center"/>
    </xf>
    <xf numFmtId="0" fontId="0" fillId="9" borderId="13" xfId="0" applyFill="1" applyBorder="1">
      <alignment vertical="center"/>
    </xf>
    <xf numFmtId="176" fontId="18" fillId="7" borderId="7" xfId="0" applyNumberFormat="1" applyFont="1" applyFill="1" applyBorder="1" applyAlignment="1">
      <alignment horizontal="center" vertical="center"/>
    </xf>
    <xf numFmtId="176" fontId="18" fillId="7" borderId="4" xfId="0" applyNumberFormat="1" applyFont="1" applyFill="1" applyBorder="1" applyAlignment="1">
      <alignment horizontal="center" vertical="center"/>
    </xf>
    <xf numFmtId="176" fontId="15" fillId="8" borderId="14" xfId="0" applyNumberFormat="1" applyFont="1" applyFill="1" applyBorder="1">
      <alignment vertical="center"/>
    </xf>
    <xf numFmtId="176" fontId="19" fillId="8" borderId="1" xfId="0" applyNumberFormat="1" applyFont="1" applyFill="1" applyBorder="1" applyAlignment="1">
      <alignment horizontal="center" vertical="center"/>
    </xf>
    <xf numFmtId="176" fontId="19" fillId="8" borderId="1" xfId="0" applyNumberFormat="1" applyFont="1" applyFill="1" applyBorder="1" applyAlignment="1">
      <alignment horizontal="left" vertical="center"/>
    </xf>
    <xf numFmtId="176" fontId="18" fillId="8" borderId="1" xfId="0" applyNumberFormat="1" applyFont="1" applyFill="1" applyBorder="1" applyAlignment="1"/>
    <xf numFmtId="176" fontId="20" fillId="10" borderId="15" xfId="0" applyNumberFormat="1" applyFont="1" applyFill="1" applyBorder="1" applyAlignment="1">
      <alignment horizontal="right" vertical="center"/>
    </xf>
    <xf numFmtId="176" fontId="20" fillId="10" borderId="16" xfId="0" applyNumberFormat="1" applyFont="1" applyFill="1" applyBorder="1" applyAlignment="1">
      <alignment horizontal="right" vertical="center"/>
    </xf>
    <xf numFmtId="176" fontId="20" fillId="10" borderId="17" xfId="0" applyNumberFormat="1" applyFont="1" applyFill="1" applyBorder="1" applyAlignment="1">
      <alignment horizontal="right" vertical="center"/>
    </xf>
    <xf numFmtId="176" fontId="15" fillId="8" borderId="8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B2C_&#54032;&#47588;&#45236;&#50669;_&#51088;&#46041;&#53596;&#54540;&#47551;_2608_v4%20(1).xlsx" TargetMode="External"/><Relationship Id="rId2" Type="http://schemas.openxmlformats.org/officeDocument/2006/relationships/externalLinkPath" Target="file:///C:\Users\User\Downloads\B2C_&#54032;&#47588;&#45236;&#50669;_&#51088;&#46041;&#53596;&#54540;&#47551;_2608_v4%20(1).xlsx" TargetMode="External"/><Relationship Id="rId1" Type="http://schemas.openxmlformats.org/officeDocument/2006/relationships/externalLinkPath" Target="/Users/User/Downloads/B2C_&#54032;&#47588;&#45236;&#50669;_&#51088;&#46041;&#53596;&#54540;&#47551;_2608_v4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통합 판매내역"/>
      <sheetName val="작성방법"/>
      <sheetName val="사이즈별 상세"/>
      <sheetName val="회계"/>
      <sheetName val="홈택스"/>
      <sheetName val="제품코드"/>
      <sheetName val="Sheet1"/>
    </sheetNames>
    <sheetDataSet>
      <sheetData sheetId="0">
        <row r="1">
          <cell r="A1" t="str">
            <v>플랫폼</v>
          </cell>
          <cell r="C1" t="str">
            <v>매출월</v>
          </cell>
          <cell r="E1" t="str">
            <v>제품유형</v>
          </cell>
          <cell r="G1" t="str">
            <v>수량</v>
          </cell>
          <cell r="H1" t="str">
            <v>신용카드</v>
          </cell>
          <cell r="I1" t="str">
            <v>현금영수증</v>
          </cell>
          <cell r="J1" t="str">
            <v>세금계산서</v>
          </cell>
          <cell r="K1" t="str">
            <v>기타</v>
          </cell>
        </row>
        <row r="2">
          <cell r="A2" t="str">
            <v>SSG</v>
          </cell>
          <cell r="C2" t="str">
            <v>1월</v>
          </cell>
          <cell r="E2" t="str">
            <v>제품</v>
          </cell>
          <cell r="G2">
            <v>1</v>
          </cell>
          <cell r="K2">
            <v>550000</v>
          </cell>
        </row>
        <row r="3">
          <cell r="A3" t="str">
            <v>SSG</v>
          </cell>
          <cell r="C3" t="str">
            <v>1월</v>
          </cell>
          <cell r="E3" t="str">
            <v>제품</v>
          </cell>
          <cell r="G3">
            <v>1</v>
          </cell>
          <cell r="K3">
            <v>550000</v>
          </cell>
        </row>
        <row r="4">
          <cell r="A4" t="str">
            <v>SSG</v>
          </cell>
          <cell r="C4" t="str">
            <v>1월</v>
          </cell>
          <cell r="E4" t="str">
            <v>제품</v>
          </cell>
          <cell r="G4">
            <v>1</v>
          </cell>
          <cell r="K4">
            <v>550000</v>
          </cell>
        </row>
        <row r="5">
          <cell r="A5" t="str">
            <v>네이버</v>
          </cell>
          <cell r="C5" t="str">
            <v>1월</v>
          </cell>
          <cell r="E5" t="str">
            <v>제품</v>
          </cell>
          <cell r="G5">
            <v>1</v>
          </cell>
          <cell r="H5">
            <v>0</v>
          </cell>
          <cell r="I5">
            <v>550000</v>
          </cell>
          <cell r="K5">
            <v>0</v>
          </cell>
        </row>
        <row r="6">
          <cell r="A6" t="str">
            <v>네이버</v>
          </cell>
          <cell r="C6" t="str">
            <v>1월</v>
          </cell>
          <cell r="E6" t="str">
            <v>제품</v>
          </cell>
          <cell r="G6">
            <v>1</v>
          </cell>
          <cell r="H6">
            <v>550000</v>
          </cell>
          <cell r="I6">
            <v>0</v>
          </cell>
          <cell r="J6">
            <v>0</v>
          </cell>
          <cell r="K6">
            <v>0</v>
          </cell>
        </row>
        <row r="7">
          <cell r="A7" t="str">
            <v>네이버</v>
          </cell>
          <cell r="C7" t="str">
            <v>1월</v>
          </cell>
          <cell r="E7" t="str">
            <v>부가제품</v>
          </cell>
          <cell r="G7">
            <v>1</v>
          </cell>
          <cell r="H7">
            <v>74000</v>
          </cell>
        </row>
        <row r="8">
          <cell r="A8" t="str">
            <v>네이버</v>
          </cell>
          <cell r="C8" t="str">
            <v>1월</v>
          </cell>
          <cell r="E8" t="str">
            <v>제품</v>
          </cell>
          <cell r="G8">
            <v>1</v>
          </cell>
          <cell r="H8">
            <v>549658</v>
          </cell>
          <cell r="I8">
            <v>0</v>
          </cell>
          <cell r="J8">
            <v>0</v>
          </cell>
          <cell r="K8">
            <v>342</v>
          </cell>
        </row>
        <row r="9">
          <cell r="A9" t="str">
            <v>네이버</v>
          </cell>
          <cell r="C9" t="str">
            <v>1월</v>
          </cell>
          <cell r="E9" t="str">
            <v>제품</v>
          </cell>
          <cell r="G9">
            <v>1</v>
          </cell>
          <cell r="H9">
            <v>0</v>
          </cell>
          <cell r="I9">
            <v>550000</v>
          </cell>
          <cell r="J9">
            <v>0</v>
          </cell>
          <cell r="K9">
            <v>0</v>
          </cell>
        </row>
        <row r="10">
          <cell r="A10" t="str">
            <v>네이버</v>
          </cell>
          <cell r="C10" t="str">
            <v>1월</v>
          </cell>
          <cell r="E10" t="str">
            <v>제품</v>
          </cell>
          <cell r="G10">
            <v>1</v>
          </cell>
          <cell r="H10">
            <v>0</v>
          </cell>
          <cell r="I10">
            <v>550000</v>
          </cell>
          <cell r="J10">
            <v>0</v>
          </cell>
          <cell r="K10">
            <v>0</v>
          </cell>
        </row>
        <row r="11">
          <cell r="A11" t="str">
            <v>네이버</v>
          </cell>
          <cell r="C11" t="str">
            <v>1월</v>
          </cell>
          <cell r="E11" t="str">
            <v>부가제품</v>
          </cell>
          <cell r="G11">
            <v>1</v>
          </cell>
          <cell r="I11">
            <v>74000</v>
          </cell>
        </row>
        <row r="12">
          <cell r="A12" t="str">
            <v>네이버</v>
          </cell>
          <cell r="C12" t="str">
            <v>1월</v>
          </cell>
          <cell r="E12" t="str">
            <v>제품</v>
          </cell>
          <cell r="G12">
            <v>1</v>
          </cell>
          <cell r="H12">
            <v>537224</v>
          </cell>
          <cell r="I12">
            <v>0</v>
          </cell>
          <cell r="J12">
            <v>0</v>
          </cell>
          <cell r="K12">
            <v>12776</v>
          </cell>
        </row>
        <row r="13">
          <cell r="A13" t="str">
            <v>네이버</v>
          </cell>
          <cell r="C13" t="str">
            <v>1월</v>
          </cell>
          <cell r="E13" t="str">
            <v>제품</v>
          </cell>
          <cell r="G13">
            <v>1</v>
          </cell>
          <cell r="H13">
            <v>0</v>
          </cell>
          <cell r="I13">
            <v>535435</v>
          </cell>
          <cell r="J13">
            <v>0</v>
          </cell>
          <cell r="K13">
            <v>14565</v>
          </cell>
        </row>
        <row r="14">
          <cell r="A14" t="str">
            <v>네이버</v>
          </cell>
          <cell r="C14" t="str">
            <v>1월</v>
          </cell>
          <cell r="E14" t="str">
            <v>제품</v>
          </cell>
          <cell r="G14">
            <v>1</v>
          </cell>
          <cell r="H14">
            <v>0</v>
          </cell>
          <cell r="I14">
            <v>550000</v>
          </cell>
          <cell r="J14">
            <v>0</v>
          </cell>
          <cell r="K14">
            <v>0</v>
          </cell>
        </row>
        <row r="15">
          <cell r="A15" t="str">
            <v>네이버</v>
          </cell>
          <cell r="C15" t="str">
            <v>1월</v>
          </cell>
          <cell r="E15" t="str">
            <v>제품</v>
          </cell>
          <cell r="G15">
            <v>1</v>
          </cell>
          <cell r="H15">
            <v>550000</v>
          </cell>
          <cell r="I15">
            <v>0</v>
          </cell>
          <cell r="J15">
            <v>0</v>
          </cell>
          <cell r="K15">
            <v>0</v>
          </cell>
        </row>
        <row r="16">
          <cell r="A16" t="str">
            <v>네이버</v>
          </cell>
          <cell r="C16" t="str">
            <v>1월</v>
          </cell>
          <cell r="E16" t="str">
            <v>제품</v>
          </cell>
          <cell r="G16">
            <v>1</v>
          </cell>
          <cell r="H16">
            <v>543793</v>
          </cell>
          <cell r="I16">
            <v>6207</v>
          </cell>
          <cell r="J16">
            <v>0</v>
          </cell>
          <cell r="K16">
            <v>0</v>
          </cell>
        </row>
        <row r="17">
          <cell r="A17" t="str">
            <v>네이버</v>
          </cell>
          <cell r="C17" t="str">
            <v>1월</v>
          </cell>
          <cell r="E17" t="str">
            <v>제품</v>
          </cell>
          <cell r="G17">
            <v>1</v>
          </cell>
          <cell r="H17">
            <v>539752</v>
          </cell>
          <cell r="I17">
            <v>0</v>
          </cell>
          <cell r="J17">
            <v>0</v>
          </cell>
          <cell r="K17">
            <v>10248</v>
          </cell>
        </row>
        <row r="18">
          <cell r="A18" t="str">
            <v>네이버</v>
          </cell>
          <cell r="C18" t="str">
            <v>1월</v>
          </cell>
          <cell r="E18" t="str">
            <v>제품취소</v>
          </cell>
          <cell r="G18">
            <v>-1</v>
          </cell>
          <cell r="H18">
            <v>-550000</v>
          </cell>
          <cell r="I18">
            <v>0</v>
          </cell>
          <cell r="J18">
            <v>0</v>
          </cell>
          <cell r="K18">
            <v>0</v>
          </cell>
        </row>
        <row r="19">
          <cell r="A19" t="str">
            <v>네이버</v>
          </cell>
          <cell r="C19" t="str">
            <v>1월</v>
          </cell>
          <cell r="E19" t="str">
            <v>제품</v>
          </cell>
          <cell r="G19">
            <v>1</v>
          </cell>
          <cell r="H19">
            <v>550000</v>
          </cell>
          <cell r="I19">
            <v>0</v>
          </cell>
          <cell r="J19">
            <v>0</v>
          </cell>
          <cell r="K19">
            <v>0</v>
          </cell>
        </row>
        <row r="20">
          <cell r="A20" t="str">
            <v>네이버</v>
          </cell>
          <cell r="C20" t="str">
            <v>1월</v>
          </cell>
          <cell r="E20" t="str">
            <v>제품</v>
          </cell>
          <cell r="G20">
            <v>1</v>
          </cell>
          <cell r="H20">
            <v>550000</v>
          </cell>
          <cell r="I20">
            <v>0</v>
          </cell>
          <cell r="J20">
            <v>0</v>
          </cell>
          <cell r="K20">
            <v>0</v>
          </cell>
        </row>
        <row r="21">
          <cell r="A21" t="str">
            <v>네이버</v>
          </cell>
          <cell r="C21" t="str">
            <v>1월</v>
          </cell>
          <cell r="E21" t="str">
            <v>제품</v>
          </cell>
          <cell r="G21">
            <v>1</v>
          </cell>
          <cell r="H21">
            <v>447013</v>
          </cell>
          <cell r="I21">
            <v>91000</v>
          </cell>
          <cell r="J21">
            <v>0</v>
          </cell>
          <cell r="K21">
            <v>11987</v>
          </cell>
        </row>
        <row r="22">
          <cell r="A22" t="str">
            <v>네이버</v>
          </cell>
          <cell r="C22" t="str">
            <v>1월</v>
          </cell>
          <cell r="E22" t="str">
            <v>제품</v>
          </cell>
          <cell r="G22">
            <v>1</v>
          </cell>
          <cell r="H22">
            <v>547486</v>
          </cell>
          <cell r="I22">
            <v>0</v>
          </cell>
          <cell r="J22">
            <v>0</v>
          </cell>
          <cell r="K22">
            <v>2514</v>
          </cell>
        </row>
        <row r="23">
          <cell r="A23" t="str">
            <v>네이버</v>
          </cell>
          <cell r="C23" t="str">
            <v>1월</v>
          </cell>
          <cell r="E23" t="str">
            <v>제품</v>
          </cell>
          <cell r="G23">
            <v>1</v>
          </cell>
          <cell r="H23">
            <v>511575</v>
          </cell>
          <cell r="I23">
            <v>0</v>
          </cell>
          <cell r="J23">
            <v>0</v>
          </cell>
          <cell r="K23">
            <v>38425</v>
          </cell>
        </row>
        <row r="24">
          <cell r="A24" t="str">
            <v>네이버</v>
          </cell>
          <cell r="C24" t="str">
            <v>1월</v>
          </cell>
          <cell r="E24" t="str">
            <v>제품</v>
          </cell>
          <cell r="G24">
            <v>1</v>
          </cell>
          <cell r="H24">
            <v>550000</v>
          </cell>
          <cell r="I24">
            <v>0</v>
          </cell>
          <cell r="J24">
            <v>0</v>
          </cell>
          <cell r="K24">
            <v>0</v>
          </cell>
        </row>
        <row r="25">
          <cell r="A25" t="str">
            <v>네이버</v>
          </cell>
          <cell r="C25" t="str">
            <v>1월</v>
          </cell>
          <cell r="E25" t="str">
            <v>제품</v>
          </cell>
          <cell r="G25">
            <v>1</v>
          </cell>
          <cell r="H25">
            <v>550000</v>
          </cell>
          <cell r="I25">
            <v>0</v>
          </cell>
          <cell r="J25">
            <v>0</v>
          </cell>
          <cell r="K25">
            <v>0</v>
          </cell>
        </row>
        <row r="26">
          <cell r="A26" t="str">
            <v>네이버</v>
          </cell>
          <cell r="C26" t="str">
            <v>1월</v>
          </cell>
          <cell r="E26" t="str">
            <v>부가제품</v>
          </cell>
          <cell r="G26">
            <v>1</v>
          </cell>
          <cell r="H26">
            <v>74000</v>
          </cell>
        </row>
        <row r="27">
          <cell r="A27" t="str">
            <v>네이버</v>
          </cell>
          <cell r="C27" t="str">
            <v>1월</v>
          </cell>
          <cell r="E27" t="str">
            <v>제품</v>
          </cell>
          <cell r="G27">
            <v>1</v>
          </cell>
          <cell r="H27">
            <v>550000</v>
          </cell>
          <cell r="I27">
            <v>0</v>
          </cell>
          <cell r="J27">
            <v>0</v>
          </cell>
          <cell r="K27">
            <v>0</v>
          </cell>
        </row>
        <row r="28">
          <cell r="A28" t="str">
            <v>네이버</v>
          </cell>
          <cell r="C28" t="str">
            <v>1월</v>
          </cell>
          <cell r="E28" t="str">
            <v>제품</v>
          </cell>
          <cell r="G28">
            <v>1</v>
          </cell>
          <cell r="H28">
            <v>550000</v>
          </cell>
          <cell r="I28">
            <v>0</v>
          </cell>
          <cell r="K28">
            <v>0</v>
          </cell>
        </row>
        <row r="29">
          <cell r="A29" t="str">
            <v>네이버</v>
          </cell>
          <cell r="C29" t="str">
            <v>1월</v>
          </cell>
          <cell r="E29" t="str">
            <v>제품</v>
          </cell>
          <cell r="G29">
            <v>1</v>
          </cell>
          <cell r="H29">
            <v>550000</v>
          </cell>
          <cell r="I29">
            <v>0</v>
          </cell>
        </row>
        <row r="30">
          <cell r="A30" t="str">
            <v>네이버</v>
          </cell>
          <cell r="C30" t="str">
            <v>1월</v>
          </cell>
          <cell r="E30" t="str">
            <v>제품</v>
          </cell>
          <cell r="G30">
            <v>1</v>
          </cell>
          <cell r="H30">
            <v>550000</v>
          </cell>
          <cell r="I30">
            <v>0</v>
          </cell>
        </row>
        <row r="31">
          <cell r="A31" t="str">
            <v>네이버</v>
          </cell>
          <cell r="C31" t="str">
            <v>1월</v>
          </cell>
          <cell r="E31" t="str">
            <v>제품</v>
          </cell>
          <cell r="G31">
            <v>1</v>
          </cell>
          <cell r="H31">
            <v>550000</v>
          </cell>
          <cell r="I31">
            <v>0</v>
          </cell>
        </row>
        <row r="32">
          <cell r="A32" t="str">
            <v>네이버</v>
          </cell>
          <cell r="C32" t="str">
            <v>1월</v>
          </cell>
          <cell r="E32" t="str">
            <v>제품</v>
          </cell>
          <cell r="G32">
            <v>1</v>
          </cell>
          <cell r="H32">
            <v>471243</v>
          </cell>
          <cell r="I32">
            <v>0</v>
          </cell>
          <cell r="J32">
            <v>0</v>
          </cell>
          <cell r="K32">
            <v>78757</v>
          </cell>
        </row>
        <row r="33">
          <cell r="A33" t="str">
            <v>네이버</v>
          </cell>
          <cell r="C33" t="str">
            <v>1월</v>
          </cell>
          <cell r="E33" t="str">
            <v>제품</v>
          </cell>
          <cell r="G33">
            <v>1</v>
          </cell>
          <cell r="H33">
            <v>549000</v>
          </cell>
          <cell r="I33">
            <v>0</v>
          </cell>
          <cell r="J33">
            <v>0</v>
          </cell>
          <cell r="K33">
            <v>1000</v>
          </cell>
        </row>
        <row r="34">
          <cell r="A34" t="str">
            <v>네이버</v>
          </cell>
          <cell r="C34" t="str">
            <v>1월</v>
          </cell>
          <cell r="E34" t="str">
            <v>부가제품</v>
          </cell>
          <cell r="G34">
            <v>1</v>
          </cell>
          <cell r="H34">
            <v>74000</v>
          </cell>
        </row>
        <row r="35">
          <cell r="A35" t="str">
            <v>네이버</v>
          </cell>
          <cell r="C35" t="str">
            <v>1월</v>
          </cell>
          <cell r="E35" t="str">
            <v>제품</v>
          </cell>
          <cell r="G35">
            <v>1</v>
          </cell>
          <cell r="H35">
            <v>548083</v>
          </cell>
          <cell r="I35">
            <v>1917</v>
          </cell>
          <cell r="J35">
            <v>0</v>
          </cell>
          <cell r="K35">
            <v>0</v>
          </cell>
        </row>
        <row r="36">
          <cell r="A36" t="str">
            <v>네이버</v>
          </cell>
          <cell r="C36" t="str">
            <v>1월</v>
          </cell>
          <cell r="E36" t="str">
            <v>제품</v>
          </cell>
          <cell r="G36">
            <v>1</v>
          </cell>
          <cell r="H36">
            <v>0</v>
          </cell>
          <cell r="I36">
            <v>550000</v>
          </cell>
          <cell r="J36">
            <v>0</v>
          </cell>
          <cell r="K36">
            <v>0</v>
          </cell>
        </row>
        <row r="37">
          <cell r="A37" t="str">
            <v>네이버</v>
          </cell>
          <cell r="C37" t="str">
            <v>1월</v>
          </cell>
          <cell r="E37" t="str">
            <v>부가제품</v>
          </cell>
          <cell r="G37">
            <v>1</v>
          </cell>
          <cell r="I37">
            <v>74000</v>
          </cell>
        </row>
        <row r="38">
          <cell r="A38" t="str">
            <v>네이버</v>
          </cell>
          <cell r="C38" t="str">
            <v>1월</v>
          </cell>
          <cell r="E38" t="str">
            <v>사이즈미정</v>
          </cell>
          <cell r="G38">
            <v>-1</v>
          </cell>
          <cell r="H38">
            <v>-550000</v>
          </cell>
          <cell r="I38">
            <v>0</v>
          </cell>
          <cell r="J38">
            <v>0</v>
          </cell>
          <cell r="K38">
            <v>0</v>
          </cell>
        </row>
        <row r="39">
          <cell r="A39" t="str">
            <v>네이버</v>
          </cell>
          <cell r="C39" t="str">
            <v>1월</v>
          </cell>
          <cell r="E39" t="str">
            <v>제품</v>
          </cell>
          <cell r="G39">
            <v>1</v>
          </cell>
          <cell r="H39">
            <v>543271</v>
          </cell>
          <cell r="I39">
            <v>0</v>
          </cell>
          <cell r="J39">
            <v>0</v>
          </cell>
          <cell r="K39">
            <v>6729</v>
          </cell>
        </row>
        <row r="40">
          <cell r="A40" t="str">
            <v>네이버</v>
          </cell>
          <cell r="C40" t="str">
            <v>1월</v>
          </cell>
          <cell r="E40" t="str">
            <v>제품</v>
          </cell>
          <cell r="G40">
            <v>1</v>
          </cell>
          <cell r="H40">
            <v>550000</v>
          </cell>
          <cell r="I40">
            <v>0</v>
          </cell>
          <cell r="J40">
            <v>0</v>
          </cell>
          <cell r="K40">
            <v>0</v>
          </cell>
        </row>
        <row r="41">
          <cell r="A41" t="str">
            <v>네이버</v>
          </cell>
          <cell r="C41" t="str">
            <v>1월</v>
          </cell>
          <cell r="E41" t="str">
            <v>제품</v>
          </cell>
          <cell r="G41">
            <v>1</v>
          </cell>
          <cell r="H41">
            <v>549000</v>
          </cell>
          <cell r="I41">
            <v>0</v>
          </cell>
          <cell r="J41">
            <v>0</v>
          </cell>
          <cell r="K41">
            <v>1000</v>
          </cell>
        </row>
        <row r="42">
          <cell r="A42" t="str">
            <v>네이버</v>
          </cell>
          <cell r="C42" t="str">
            <v>1월</v>
          </cell>
          <cell r="E42" t="str">
            <v>제품</v>
          </cell>
          <cell r="G42">
            <v>1</v>
          </cell>
          <cell r="H42">
            <v>550000</v>
          </cell>
          <cell r="I42">
            <v>0</v>
          </cell>
          <cell r="J42">
            <v>0</v>
          </cell>
          <cell r="K42">
            <v>0</v>
          </cell>
        </row>
        <row r="43">
          <cell r="A43" t="str">
            <v>네이버</v>
          </cell>
          <cell r="C43" t="str">
            <v>1월</v>
          </cell>
          <cell r="E43" t="str">
            <v>제품</v>
          </cell>
          <cell r="G43">
            <v>1</v>
          </cell>
          <cell r="H43">
            <v>550000</v>
          </cell>
          <cell r="I43">
            <v>0</v>
          </cell>
          <cell r="J43">
            <v>0</v>
          </cell>
          <cell r="K43">
            <v>0</v>
          </cell>
        </row>
        <row r="44">
          <cell r="A44" t="str">
            <v>네이버</v>
          </cell>
          <cell r="C44" t="str">
            <v>1월</v>
          </cell>
          <cell r="E44" t="str">
            <v>부가제품</v>
          </cell>
          <cell r="G44">
            <v>1</v>
          </cell>
          <cell r="H44">
            <v>74000</v>
          </cell>
        </row>
        <row r="45">
          <cell r="A45" t="str">
            <v>네이버</v>
          </cell>
          <cell r="C45" t="str">
            <v>1월</v>
          </cell>
          <cell r="E45" t="str">
            <v>제품</v>
          </cell>
          <cell r="G45">
            <v>1</v>
          </cell>
          <cell r="H45">
            <v>550000</v>
          </cell>
          <cell r="I45">
            <v>0</v>
          </cell>
          <cell r="J45">
            <v>0</v>
          </cell>
          <cell r="K45">
            <v>0</v>
          </cell>
        </row>
        <row r="46">
          <cell r="A46" t="str">
            <v>지마켓</v>
          </cell>
          <cell r="C46" t="str">
            <v>1월</v>
          </cell>
          <cell r="E46" t="str">
            <v>제품</v>
          </cell>
          <cell r="G46">
            <v>1</v>
          </cell>
          <cell r="H46">
            <v>540000</v>
          </cell>
        </row>
        <row r="47">
          <cell r="A47" t="str">
            <v>카페24</v>
          </cell>
          <cell r="C47" t="str">
            <v>1월</v>
          </cell>
          <cell r="E47" t="str">
            <v>제품</v>
          </cell>
          <cell r="G47">
            <v>1</v>
          </cell>
          <cell r="I47">
            <v>550000</v>
          </cell>
        </row>
        <row r="48">
          <cell r="A48" t="str">
            <v>카페24</v>
          </cell>
          <cell r="C48" t="str">
            <v>1월</v>
          </cell>
          <cell r="E48" t="str">
            <v>제품</v>
          </cell>
          <cell r="G48">
            <v>1</v>
          </cell>
          <cell r="H48">
            <v>550000</v>
          </cell>
        </row>
        <row r="49">
          <cell r="A49" t="str">
            <v>카페24</v>
          </cell>
          <cell r="C49" t="str">
            <v>1월</v>
          </cell>
          <cell r="E49" t="str">
            <v>제품</v>
          </cell>
          <cell r="G49">
            <v>1</v>
          </cell>
          <cell r="H49">
            <v>550000</v>
          </cell>
        </row>
        <row r="50">
          <cell r="A50" t="str">
            <v>카페24</v>
          </cell>
          <cell r="C50" t="str">
            <v>1월</v>
          </cell>
          <cell r="E50" t="str">
            <v>제품</v>
          </cell>
          <cell r="G50">
            <v>1</v>
          </cell>
          <cell r="H50">
            <v>550000</v>
          </cell>
        </row>
        <row r="51">
          <cell r="A51" t="str">
            <v>카페24</v>
          </cell>
          <cell r="C51" t="str">
            <v>1월</v>
          </cell>
          <cell r="E51" t="str">
            <v>제품</v>
          </cell>
          <cell r="G51">
            <v>1</v>
          </cell>
          <cell r="H51">
            <v>550000</v>
          </cell>
        </row>
        <row r="52">
          <cell r="A52" t="str">
            <v>카페24</v>
          </cell>
          <cell r="C52" t="str">
            <v>1월</v>
          </cell>
          <cell r="E52" t="str">
            <v>제품</v>
          </cell>
          <cell r="G52">
            <v>1</v>
          </cell>
          <cell r="H52">
            <v>550000</v>
          </cell>
        </row>
        <row r="53">
          <cell r="A53" t="str">
            <v>카페24</v>
          </cell>
          <cell r="C53" t="str">
            <v>1월</v>
          </cell>
          <cell r="E53" t="str">
            <v>부가제품</v>
          </cell>
          <cell r="G53">
            <v>1</v>
          </cell>
          <cell r="H53">
            <v>74000</v>
          </cell>
        </row>
        <row r="54">
          <cell r="A54" t="str">
            <v>쿠팡</v>
          </cell>
          <cell r="C54" t="str">
            <v>1월</v>
          </cell>
          <cell r="E54" t="str">
            <v>제품</v>
          </cell>
          <cell r="G54">
            <v>1</v>
          </cell>
          <cell r="H54">
            <v>550000</v>
          </cell>
        </row>
        <row r="55">
          <cell r="A55" t="str">
            <v>쿠팡</v>
          </cell>
          <cell r="C55" t="str">
            <v>1월</v>
          </cell>
          <cell r="E55" t="str">
            <v>제품</v>
          </cell>
          <cell r="G55">
            <v>1</v>
          </cell>
          <cell r="H55">
            <v>515000</v>
          </cell>
          <cell r="K55">
            <v>35000</v>
          </cell>
        </row>
        <row r="56">
          <cell r="A56" t="str">
            <v>쿠팡</v>
          </cell>
          <cell r="C56" t="str">
            <v>1월</v>
          </cell>
          <cell r="E56" t="str">
            <v>제품</v>
          </cell>
          <cell r="G56">
            <v>1</v>
          </cell>
          <cell r="H56">
            <v>550000</v>
          </cell>
        </row>
        <row r="57">
          <cell r="A57" t="str">
            <v>쿠팡</v>
          </cell>
          <cell r="C57" t="str">
            <v>1월</v>
          </cell>
          <cell r="E57" t="str">
            <v>제품</v>
          </cell>
          <cell r="G57">
            <v>1</v>
          </cell>
          <cell r="H57">
            <v>550000</v>
          </cell>
        </row>
        <row r="58">
          <cell r="A58" t="str">
            <v>쿠팡</v>
          </cell>
          <cell r="C58" t="str">
            <v>1월</v>
          </cell>
          <cell r="E58" t="str">
            <v>제품취소</v>
          </cell>
          <cell r="G58">
            <v>-1</v>
          </cell>
          <cell r="H58">
            <v>-550000</v>
          </cell>
        </row>
        <row r="59">
          <cell r="A59" t="str">
            <v>쿠팡</v>
          </cell>
          <cell r="C59" t="str">
            <v>1월</v>
          </cell>
          <cell r="E59" t="str">
            <v>제품</v>
          </cell>
          <cell r="G59">
            <v>1</v>
          </cell>
          <cell r="H59">
            <v>550000</v>
          </cell>
        </row>
        <row r="60">
          <cell r="A60" t="str">
            <v>쿠팡</v>
          </cell>
          <cell r="C60" t="str">
            <v>1월</v>
          </cell>
          <cell r="E60" t="str">
            <v>배송비</v>
          </cell>
          <cell r="G60">
            <v>1</v>
          </cell>
          <cell r="H60">
            <v>9000</v>
          </cell>
        </row>
        <row r="61">
          <cell r="A61" t="str">
            <v>쿠팡</v>
          </cell>
          <cell r="C61" t="str">
            <v>1월</v>
          </cell>
          <cell r="E61" t="str">
            <v>제품</v>
          </cell>
          <cell r="G61">
            <v>1</v>
          </cell>
          <cell r="H61">
            <v>550000</v>
          </cell>
        </row>
        <row r="62">
          <cell r="A62" t="str">
            <v>쿠팡</v>
          </cell>
          <cell r="C62" t="str">
            <v>1월</v>
          </cell>
          <cell r="E62" t="str">
            <v>제품</v>
          </cell>
          <cell r="G62">
            <v>1</v>
          </cell>
          <cell r="H62">
            <v>550000</v>
          </cell>
        </row>
        <row r="63">
          <cell r="A63" t="str">
            <v>쿠팡</v>
          </cell>
          <cell r="C63" t="str">
            <v>1월</v>
          </cell>
          <cell r="E63" t="str">
            <v>제품</v>
          </cell>
          <cell r="G63">
            <v>1</v>
          </cell>
          <cell r="H63">
            <v>550000</v>
          </cell>
        </row>
        <row r="64">
          <cell r="A64" t="str">
            <v>쿠팡</v>
          </cell>
          <cell r="C64" t="str">
            <v>1월</v>
          </cell>
          <cell r="E64" t="str">
            <v>부가제품</v>
          </cell>
          <cell r="G64">
            <v>1</v>
          </cell>
          <cell r="H64">
            <v>74000</v>
          </cell>
        </row>
        <row r="65">
          <cell r="A65" t="str">
            <v>쿠팡</v>
          </cell>
          <cell r="C65" t="str">
            <v>1월</v>
          </cell>
          <cell r="E65" t="str">
            <v>배송비</v>
          </cell>
          <cell r="G65">
            <v>1</v>
          </cell>
          <cell r="H65">
            <v>9000</v>
          </cell>
        </row>
        <row r="66">
          <cell r="A66" t="str">
            <v>쿠팡</v>
          </cell>
          <cell r="C66" t="str">
            <v>1월</v>
          </cell>
          <cell r="E66" t="str">
            <v>제품</v>
          </cell>
          <cell r="G66">
            <v>1</v>
          </cell>
          <cell r="H66">
            <v>550000</v>
          </cell>
        </row>
        <row r="67">
          <cell r="A67" t="str">
            <v>쿠팡</v>
          </cell>
          <cell r="C67" t="str">
            <v>1월</v>
          </cell>
          <cell r="E67" t="str">
            <v>사이즈미정</v>
          </cell>
          <cell r="G67">
            <v>1</v>
          </cell>
          <cell r="H67">
            <v>550000</v>
          </cell>
        </row>
        <row r="68">
          <cell r="A68" t="str">
            <v>쿠팡</v>
          </cell>
          <cell r="C68" t="str">
            <v>1월</v>
          </cell>
          <cell r="E68" t="str">
            <v>제품</v>
          </cell>
          <cell r="G68">
            <v>1</v>
          </cell>
          <cell r="H68">
            <v>550000</v>
          </cell>
        </row>
        <row r="69">
          <cell r="A69" t="str">
            <v>11번가</v>
          </cell>
          <cell r="C69" t="str">
            <v>2월</v>
          </cell>
          <cell r="E69" t="str">
            <v>제품</v>
          </cell>
          <cell r="G69">
            <v>1</v>
          </cell>
          <cell r="H69">
            <v>550000</v>
          </cell>
        </row>
        <row r="70">
          <cell r="A70" t="str">
            <v>SSG</v>
          </cell>
          <cell r="C70" t="str">
            <v>2월</v>
          </cell>
          <cell r="E70" t="str">
            <v>제품</v>
          </cell>
          <cell r="G70">
            <v>1</v>
          </cell>
          <cell r="K70">
            <v>550000</v>
          </cell>
        </row>
        <row r="71">
          <cell r="A71" t="str">
            <v>SSG</v>
          </cell>
          <cell r="C71" t="str">
            <v>2월</v>
          </cell>
          <cell r="E71" t="str">
            <v>제품</v>
          </cell>
          <cell r="G71">
            <v>1</v>
          </cell>
          <cell r="K71">
            <v>550000</v>
          </cell>
        </row>
        <row r="72">
          <cell r="A72" t="str">
            <v>SSG</v>
          </cell>
          <cell r="C72" t="str">
            <v>2월</v>
          </cell>
          <cell r="E72" t="str">
            <v>제품</v>
          </cell>
          <cell r="G72">
            <v>1</v>
          </cell>
          <cell r="K72">
            <v>550000</v>
          </cell>
        </row>
        <row r="73">
          <cell r="A73" t="str">
            <v>SSG</v>
          </cell>
          <cell r="C73" t="str">
            <v>2월</v>
          </cell>
          <cell r="E73" t="str">
            <v>제품</v>
          </cell>
          <cell r="G73">
            <v>1</v>
          </cell>
          <cell r="K73">
            <v>550000</v>
          </cell>
        </row>
        <row r="74">
          <cell r="A74" t="str">
            <v>SSG</v>
          </cell>
          <cell r="C74" t="str">
            <v>2월</v>
          </cell>
          <cell r="E74" t="str">
            <v>제품</v>
          </cell>
          <cell r="G74">
            <v>1</v>
          </cell>
          <cell r="K74">
            <v>550000</v>
          </cell>
        </row>
        <row r="75">
          <cell r="A75" t="str">
            <v>SSG</v>
          </cell>
          <cell r="C75" t="str">
            <v>2월</v>
          </cell>
          <cell r="E75" t="str">
            <v>제품</v>
          </cell>
          <cell r="G75">
            <v>1</v>
          </cell>
          <cell r="H75">
            <v>530000</v>
          </cell>
          <cell r="K75">
            <v>20000</v>
          </cell>
        </row>
        <row r="76">
          <cell r="A76" t="str">
            <v>SSG</v>
          </cell>
          <cell r="C76" t="str">
            <v>2월</v>
          </cell>
          <cell r="E76" t="str">
            <v>제품</v>
          </cell>
          <cell r="G76">
            <v>1</v>
          </cell>
          <cell r="H76">
            <v>0</v>
          </cell>
          <cell r="K76">
            <v>550000</v>
          </cell>
        </row>
        <row r="77">
          <cell r="A77" t="str">
            <v>네이버</v>
          </cell>
          <cell r="C77" t="str">
            <v>2월</v>
          </cell>
          <cell r="E77" t="str">
            <v>제품</v>
          </cell>
          <cell r="G77">
            <v>1</v>
          </cell>
          <cell r="H77">
            <v>550000</v>
          </cell>
          <cell r="I77">
            <v>0</v>
          </cell>
          <cell r="J77">
            <v>0</v>
          </cell>
          <cell r="K77">
            <v>0</v>
          </cell>
        </row>
        <row r="78">
          <cell r="A78" t="str">
            <v>네이버</v>
          </cell>
          <cell r="C78" t="str">
            <v>2월</v>
          </cell>
          <cell r="E78" t="str">
            <v>제품취소</v>
          </cell>
          <cell r="G78">
            <v>-1</v>
          </cell>
          <cell r="H78">
            <v>-550000</v>
          </cell>
          <cell r="I78">
            <v>0</v>
          </cell>
          <cell r="J78">
            <v>0</v>
          </cell>
          <cell r="K78">
            <v>0</v>
          </cell>
        </row>
        <row r="79">
          <cell r="A79" t="str">
            <v>네이버</v>
          </cell>
          <cell r="C79" t="str">
            <v>2월</v>
          </cell>
          <cell r="E79" t="str">
            <v>제품</v>
          </cell>
          <cell r="G79">
            <v>1</v>
          </cell>
          <cell r="H79">
            <v>550000</v>
          </cell>
          <cell r="I79">
            <v>0</v>
          </cell>
          <cell r="J79">
            <v>0</v>
          </cell>
          <cell r="K79">
            <v>0</v>
          </cell>
        </row>
        <row r="80">
          <cell r="A80" t="str">
            <v>네이버</v>
          </cell>
          <cell r="C80" t="str">
            <v>2월</v>
          </cell>
          <cell r="E80" t="str">
            <v>제품</v>
          </cell>
          <cell r="G80">
            <v>1</v>
          </cell>
          <cell r="H80">
            <v>550000</v>
          </cell>
          <cell r="I80">
            <v>0</v>
          </cell>
          <cell r="J80">
            <v>0</v>
          </cell>
          <cell r="K80">
            <v>0</v>
          </cell>
        </row>
        <row r="81">
          <cell r="A81" t="str">
            <v>네이버</v>
          </cell>
          <cell r="C81" t="str">
            <v>2월</v>
          </cell>
          <cell r="E81" t="str">
            <v>제품</v>
          </cell>
          <cell r="G81">
            <v>1</v>
          </cell>
          <cell r="H81">
            <v>550000</v>
          </cell>
          <cell r="I81">
            <v>0</v>
          </cell>
          <cell r="J81">
            <v>0</v>
          </cell>
          <cell r="K81">
            <v>0</v>
          </cell>
        </row>
        <row r="82">
          <cell r="A82" t="str">
            <v>네이버</v>
          </cell>
          <cell r="C82" t="str">
            <v>2월</v>
          </cell>
          <cell r="E82" t="str">
            <v>제품</v>
          </cell>
          <cell r="G82">
            <v>1</v>
          </cell>
          <cell r="H82">
            <v>550000</v>
          </cell>
          <cell r="I82">
            <v>0</v>
          </cell>
          <cell r="J82">
            <v>0</v>
          </cell>
          <cell r="K82">
            <v>0</v>
          </cell>
        </row>
        <row r="83">
          <cell r="A83" t="str">
            <v>네이버</v>
          </cell>
          <cell r="C83" t="str">
            <v>2월</v>
          </cell>
          <cell r="E83" t="str">
            <v>제품</v>
          </cell>
          <cell r="G83">
            <v>1</v>
          </cell>
          <cell r="H83">
            <v>550000</v>
          </cell>
          <cell r="I83">
            <v>0</v>
          </cell>
          <cell r="J83">
            <v>0</v>
          </cell>
          <cell r="K83">
            <v>0</v>
          </cell>
        </row>
        <row r="84">
          <cell r="A84" t="str">
            <v>네이버</v>
          </cell>
          <cell r="C84" t="str">
            <v>2월</v>
          </cell>
          <cell r="E84" t="str">
            <v>부가제품</v>
          </cell>
          <cell r="G84">
            <v>1</v>
          </cell>
          <cell r="H84">
            <v>74000</v>
          </cell>
        </row>
        <row r="85">
          <cell r="A85" t="str">
            <v>네이버</v>
          </cell>
          <cell r="C85" t="str">
            <v>2월</v>
          </cell>
          <cell r="E85" t="str">
            <v>제품</v>
          </cell>
          <cell r="G85">
            <v>1</v>
          </cell>
          <cell r="H85">
            <v>509091</v>
          </cell>
          <cell r="I85">
            <v>0</v>
          </cell>
          <cell r="J85">
            <v>0</v>
          </cell>
          <cell r="K85">
            <v>40909</v>
          </cell>
        </row>
        <row r="86">
          <cell r="A86" t="str">
            <v>네이버</v>
          </cell>
          <cell r="C86" t="str">
            <v>2월</v>
          </cell>
          <cell r="E86" t="str">
            <v>제품</v>
          </cell>
          <cell r="G86">
            <v>1</v>
          </cell>
          <cell r="H86">
            <v>550000</v>
          </cell>
          <cell r="I86">
            <v>0</v>
          </cell>
          <cell r="J86">
            <v>0</v>
          </cell>
          <cell r="K86">
            <v>0</v>
          </cell>
        </row>
        <row r="87">
          <cell r="A87" t="str">
            <v>네이버</v>
          </cell>
          <cell r="C87" t="str">
            <v>2월</v>
          </cell>
          <cell r="E87" t="str">
            <v>제품</v>
          </cell>
          <cell r="G87">
            <v>1</v>
          </cell>
          <cell r="H87">
            <v>0</v>
          </cell>
          <cell r="I87">
            <v>548475</v>
          </cell>
          <cell r="J87">
            <v>0</v>
          </cell>
          <cell r="K87">
            <v>1525</v>
          </cell>
        </row>
        <row r="88">
          <cell r="A88" t="str">
            <v>네이버</v>
          </cell>
          <cell r="C88" t="str">
            <v>2월</v>
          </cell>
          <cell r="E88" t="str">
            <v>제품</v>
          </cell>
          <cell r="G88">
            <v>1</v>
          </cell>
          <cell r="H88">
            <v>547190</v>
          </cell>
          <cell r="I88">
            <v>0</v>
          </cell>
          <cell r="J88">
            <v>0</v>
          </cell>
          <cell r="K88">
            <v>2810</v>
          </cell>
        </row>
        <row r="89">
          <cell r="A89" t="str">
            <v>네이버</v>
          </cell>
          <cell r="C89" t="str">
            <v>2월</v>
          </cell>
          <cell r="E89" t="str">
            <v>제품</v>
          </cell>
          <cell r="G89">
            <v>1</v>
          </cell>
          <cell r="H89">
            <v>550000</v>
          </cell>
          <cell r="I89">
            <v>0</v>
          </cell>
          <cell r="J89">
            <v>0</v>
          </cell>
          <cell r="K89">
            <v>0</v>
          </cell>
        </row>
        <row r="90">
          <cell r="A90" t="str">
            <v>네이버</v>
          </cell>
          <cell r="C90" t="str">
            <v>2월</v>
          </cell>
          <cell r="E90" t="str">
            <v>제품</v>
          </cell>
          <cell r="G90">
            <v>1</v>
          </cell>
          <cell r="H90">
            <v>550000</v>
          </cell>
          <cell r="I90">
            <v>0</v>
          </cell>
          <cell r="J90">
            <v>0</v>
          </cell>
          <cell r="K90">
            <v>0</v>
          </cell>
        </row>
        <row r="91">
          <cell r="A91" t="str">
            <v>네이버</v>
          </cell>
          <cell r="C91" t="str">
            <v>2월</v>
          </cell>
          <cell r="E91" t="str">
            <v>제품</v>
          </cell>
          <cell r="G91">
            <v>1</v>
          </cell>
          <cell r="H91">
            <v>8492</v>
          </cell>
          <cell r="I91">
            <v>0</v>
          </cell>
          <cell r="J91">
            <v>0</v>
          </cell>
          <cell r="K91">
            <v>541508</v>
          </cell>
        </row>
        <row r="92">
          <cell r="A92" t="str">
            <v>네이버</v>
          </cell>
          <cell r="C92" t="str">
            <v>2월</v>
          </cell>
          <cell r="E92" t="str">
            <v>제품</v>
          </cell>
          <cell r="G92">
            <v>1</v>
          </cell>
          <cell r="H92">
            <v>542658</v>
          </cell>
          <cell r="I92">
            <v>0</v>
          </cell>
          <cell r="J92">
            <v>0</v>
          </cell>
          <cell r="K92">
            <v>7342</v>
          </cell>
        </row>
        <row r="93">
          <cell r="A93" t="str">
            <v>네이버</v>
          </cell>
          <cell r="C93" t="str">
            <v>2월</v>
          </cell>
          <cell r="E93" t="str">
            <v>제품</v>
          </cell>
          <cell r="G93">
            <v>1</v>
          </cell>
          <cell r="H93">
            <v>550000</v>
          </cell>
          <cell r="I93">
            <v>0</v>
          </cell>
          <cell r="J93">
            <v>0</v>
          </cell>
          <cell r="K93">
            <v>0</v>
          </cell>
        </row>
        <row r="94">
          <cell r="A94" t="str">
            <v>네이버</v>
          </cell>
          <cell r="C94" t="str">
            <v>2월</v>
          </cell>
          <cell r="E94" t="str">
            <v>제품</v>
          </cell>
          <cell r="G94">
            <v>1</v>
          </cell>
          <cell r="H94">
            <v>545100</v>
          </cell>
          <cell r="I94">
            <v>0</v>
          </cell>
          <cell r="J94">
            <v>0</v>
          </cell>
          <cell r="K94">
            <v>4900</v>
          </cell>
        </row>
        <row r="95">
          <cell r="A95" t="str">
            <v>네이버</v>
          </cell>
          <cell r="C95" t="str">
            <v>2월</v>
          </cell>
          <cell r="E95" t="str">
            <v>제품</v>
          </cell>
          <cell r="G95">
            <v>1</v>
          </cell>
          <cell r="H95">
            <v>532946</v>
          </cell>
          <cell r="I95">
            <v>0</v>
          </cell>
          <cell r="J95">
            <v>0</v>
          </cell>
          <cell r="K95">
            <v>17054</v>
          </cell>
        </row>
        <row r="96">
          <cell r="A96" t="str">
            <v>네이버</v>
          </cell>
          <cell r="C96" t="str">
            <v>2월</v>
          </cell>
          <cell r="E96" t="str">
            <v>제품</v>
          </cell>
          <cell r="G96">
            <v>1</v>
          </cell>
          <cell r="H96">
            <v>550000</v>
          </cell>
          <cell r="I96">
            <v>0</v>
          </cell>
          <cell r="J96">
            <v>0</v>
          </cell>
          <cell r="K96">
            <v>0</v>
          </cell>
        </row>
        <row r="97">
          <cell r="A97" t="str">
            <v>네이버</v>
          </cell>
          <cell r="C97" t="str">
            <v>2월</v>
          </cell>
          <cell r="E97" t="str">
            <v>제품</v>
          </cell>
          <cell r="G97">
            <v>1</v>
          </cell>
          <cell r="H97">
            <v>550000</v>
          </cell>
          <cell r="I97">
            <v>0</v>
          </cell>
          <cell r="J97">
            <v>0</v>
          </cell>
          <cell r="K97">
            <v>0</v>
          </cell>
        </row>
        <row r="98">
          <cell r="A98" t="str">
            <v>네이버</v>
          </cell>
          <cell r="C98" t="str">
            <v>2월</v>
          </cell>
          <cell r="E98" t="str">
            <v>제품</v>
          </cell>
          <cell r="G98">
            <v>1</v>
          </cell>
          <cell r="H98">
            <v>546700</v>
          </cell>
          <cell r="I98">
            <v>0</v>
          </cell>
          <cell r="J98">
            <v>0</v>
          </cell>
          <cell r="K98">
            <v>3300</v>
          </cell>
        </row>
        <row r="99">
          <cell r="A99" t="str">
            <v>네이버</v>
          </cell>
          <cell r="C99" t="str">
            <v>2월</v>
          </cell>
          <cell r="E99" t="str">
            <v>제품</v>
          </cell>
          <cell r="G99">
            <v>1</v>
          </cell>
          <cell r="H99">
            <v>550000</v>
          </cell>
          <cell r="I99">
            <v>0</v>
          </cell>
          <cell r="J99">
            <v>0</v>
          </cell>
          <cell r="K99">
            <v>0</v>
          </cell>
        </row>
        <row r="100">
          <cell r="A100" t="str">
            <v>네이버</v>
          </cell>
          <cell r="C100" t="str">
            <v>2월</v>
          </cell>
          <cell r="E100" t="str">
            <v>제품</v>
          </cell>
          <cell r="G100">
            <v>1</v>
          </cell>
          <cell r="H100">
            <v>548317</v>
          </cell>
          <cell r="I100">
            <v>0</v>
          </cell>
          <cell r="J100">
            <v>0</v>
          </cell>
          <cell r="K100">
            <v>1683</v>
          </cell>
        </row>
        <row r="101">
          <cell r="A101" t="str">
            <v>네이버</v>
          </cell>
          <cell r="C101" t="str">
            <v>2월</v>
          </cell>
          <cell r="E101" t="str">
            <v>제품</v>
          </cell>
          <cell r="G101">
            <v>1</v>
          </cell>
          <cell r="H101">
            <v>0</v>
          </cell>
          <cell r="I101">
            <v>550000</v>
          </cell>
          <cell r="J101">
            <v>0</v>
          </cell>
          <cell r="K101">
            <v>0</v>
          </cell>
        </row>
        <row r="102">
          <cell r="A102" t="str">
            <v>네이버</v>
          </cell>
          <cell r="C102" t="str">
            <v>2월</v>
          </cell>
          <cell r="E102" t="str">
            <v>제품</v>
          </cell>
          <cell r="G102">
            <v>1</v>
          </cell>
          <cell r="H102">
            <v>550000</v>
          </cell>
          <cell r="I102">
            <v>0</v>
          </cell>
          <cell r="J102">
            <v>0</v>
          </cell>
          <cell r="K102">
            <v>0</v>
          </cell>
        </row>
        <row r="103">
          <cell r="A103" t="str">
            <v>옥션</v>
          </cell>
          <cell r="C103" t="str">
            <v>2월</v>
          </cell>
          <cell r="E103" t="str">
            <v>제품</v>
          </cell>
          <cell r="G103">
            <v>1</v>
          </cell>
          <cell r="H103">
            <v>540000</v>
          </cell>
          <cell r="K103">
            <v>10000</v>
          </cell>
        </row>
        <row r="104">
          <cell r="A104" t="str">
            <v>지마켓</v>
          </cell>
          <cell r="C104" t="str">
            <v>2월</v>
          </cell>
          <cell r="E104" t="str">
            <v>제품</v>
          </cell>
          <cell r="G104">
            <v>1</v>
          </cell>
          <cell r="H104">
            <v>550000</v>
          </cell>
        </row>
        <row r="105">
          <cell r="A105" t="str">
            <v>카페24</v>
          </cell>
          <cell r="C105" t="str">
            <v>2월</v>
          </cell>
          <cell r="E105" t="str">
            <v>제품</v>
          </cell>
          <cell r="G105">
            <v>1</v>
          </cell>
          <cell r="H105">
            <v>550000</v>
          </cell>
        </row>
        <row r="106">
          <cell r="A106" t="str">
            <v>카페24</v>
          </cell>
          <cell r="C106" t="str">
            <v>2월</v>
          </cell>
          <cell r="E106" t="str">
            <v>부가제품</v>
          </cell>
          <cell r="G106">
            <v>1</v>
          </cell>
          <cell r="H106">
            <v>74000</v>
          </cell>
        </row>
        <row r="107">
          <cell r="A107" t="str">
            <v>카페24</v>
          </cell>
          <cell r="C107" t="str">
            <v>2월</v>
          </cell>
          <cell r="E107" t="str">
            <v>제품</v>
          </cell>
          <cell r="G107">
            <v>1</v>
          </cell>
          <cell r="H107">
            <v>550000</v>
          </cell>
        </row>
        <row r="108">
          <cell r="A108" t="str">
            <v>쿠팡</v>
          </cell>
          <cell r="C108" t="str">
            <v>2월</v>
          </cell>
          <cell r="E108" t="str">
            <v>제품취소</v>
          </cell>
          <cell r="G108">
            <v>-1</v>
          </cell>
          <cell r="H108">
            <v>-550000</v>
          </cell>
        </row>
        <row r="109">
          <cell r="A109" t="str">
            <v>쿠팡</v>
          </cell>
          <cell r="C109" t="str">
            <v>2월</v>
          </cell>
          <cell r="E109" t="str">
            <v>제품</v>
          </cell>
          <cell r="G109">
            <v>1</v>
          </cell>
          <cell r="H109">
            <v>0</v>
          </cell>
          <cell r="I109">
            <v>550000</v>
          </cell>
          <cell r="K109">
            <v>0</v>
          </cell>
        </row>
        <row r="110">
          <cell r="A110" t="str">
            <v>쿠팡</v>
          </cell>
          <cell r="C110" t="str">
            <v>2월</v>
          </cell>
          <cell r="E110" t="str">
            <v>제품</v>
          </cell>
          <cell r="G110">
            <v>1</v>
          </cell>
          <cell r="H110">
            <v>550000</v>
          </cell>
          <cell r="I110">
            <v>0</v>
          </cell>
          <cell r="K110">
            <v>0</v>
          </cell>
        </row>
        <row r="111">
          <cell r="A111" t="str">
            <v>쿠팡</v>
          </cell>
          <cell r="C111" t="str">
            <v>2월</v>
          </cell>
          <cell r="E111" t="str">
            <v>사이즈미정</v>
          </cell>
          <cell r="G111">
            <v>-1</v>
          </cell>
          <cell r="H111">
            <v>-550000</v>
          </cell>
          <cell r="I111">
            <v>0</v>
          </cell>
          <cell r="K111">
            <v>0</v>
          </cell>
        </row>
        <row r="112">
          <cell r="A112" t="str">
            <v>쿠팡</v>
          </cell>
          <cell r="C112" t="str">
            <v>2월</v>
          </cell>
          <cell r="E112" t="str">
            <v>제품</v>
          </cell>
          <cell r="G112">
            <v>1</v>
          </cell>
          <cell r="H112">
            <v>550000</v>
          </cell>
          <cell r="I112">
            <v>0</v>
          </cell>
          <cell r="K112">
            <v>0</v>
          </cell>
        </row>
        <row r="113">
          <cell r="A113" t="str">
            <v>쿠팡</v>
          </cell>
          <cell r="C113" t="str">
            <v>2월</v>
          </cell>
          <cell r="E113" t="str">
            <v>제품</v>
          </cell>
          <cell r="G113">
            <v>1</v>
          </cell>
          <cell r="H113">
            <v>545000</v>
          </cell>
          <cell r="I113">
            <v>0</v>
          </cell>
          <cell r="K113">
            <v>5000</v>
          </cell>
        </row>
        <row r="114">
          <cell r="A114" t="str">
            <v>쿠팡</v>
          </cell>
          <cell r="C114" t="str">
            <v>2월</v>
          </cell>
          <cell r="E114" t="str">
            <v>제품</v>
          </cell>
          <cell r="G114">
            <v>1</v>
          </cell>
          <cell r="H114">
            <v>0</v>
          </cell>
          <cell r="I114">
            <v>550000</v>
          </cell>
          <cell r="K114">
            <v>0</v>
          </cell>
        </row>
        <row r="115">
          <cell r="A115" t="str">
            <v>쿠팡</v>
          </cell>
          <cell r="C115" t="str">
            <v>2월</v>
          </cell>
          <cell r="E115" t="str">
            <v>제품</v>
          </cell>
          <cell r="G115">
            <v>1</v>
          </cell>
          <cell r="H115">
            <v>550000</v>
          </cell>
          <cell r="I115">
            <v>0</v>
          </cell>
          <cell r="K115">
            <v>0</v>
          </cell>
        </row>
        <row r="116">
          <cell r="A116" t="str">
            <v>쿠팡</v>
          </cell>
          <cell r="C116" t="str">
            <v>2월</v>
          </cell>
          <cell r="E116" t="str">
            <v>제품</v>
          </cell>
          <cell r="G116">
            <v>1</v>
          </cell>
          <cell r="H116">
            <v>0</v>
          </cell>
          <cell r="I116">
            <v>550000</v>
          </cell>
          <cell r="K116">
            <v>0</v>
          </cell>
        </row>
        <row r="117">
          <cell r="A117" t="str">
            <v>쿠팡</v>
          </cell>
          <cell r="C117" t="str">
            <v>2월</v>
          </cell>
          <cell r="E117" t="str">
            <v>제품</v>
          </cell>
          <cell r="G117">
            <v>1</v>
          </cell>
          <cell r="H117">
            <v>550000</v>
          </cell>
          <cell r="I117">
            <v>0</v>
          </cell>
          <cell r="K117">
            <v>0</v>
          </cell>
        </row>
        <row r="118">
          <cell r="A118" t="str">
            <v>쿠팡</v>
          </cell>
          <cell r="C118" t="str">
            <v>2월</v>
          </cell>
          <cell r="E118" t="str">
            <v>제품취소</v>
          </cell>
          <cell r="G118">
            <v>-1</v>
          </cell>
          <cell r="H118">
            <v>-545000</v>
          </cell>
          <cell r="I118">
            <v>0</v>
          </cell>
          <cell r="K118">
            <v>-5000</v>
          </cell>
        </row>
        <row r="119">
          <cell r="A119" t="str">
            <v>쿠팡</v>
          </cell>
          <cell r="C119" t="str">
            <v>2월</v>
          </cell>
          <cell r="E119" t="str">
            <v>제품</v>
          </cell>
          <cell r="G119">
            <v>1</v>
          </cell>
          <cell r="H119">
            <v>0</v>
          </cell>
          <cell r="I119">
            <v>550000</v>
          </cell>
          <cell r="K119">
            <v>0</v>
          </cell>
        </row>
        <row r="120">
          <cell r="A120" t="str">
            <v>쿠팡</v>
          </cell>
          <cell r="C120" t="str">
            <v>2월</v>
          </cell>
          <cell r="E120" t="str">
            <v>제품</v>
          </cell>
          <cell r="G120">
            <v>1</v>
          </cell>
          <cell r="H120">
            <v>550000</v>
          </cell>
          <cell r="I120">
            <v>0</v>
          </cell>
          <cell r="K120">
            <v>0</v>
          </cell>
        </row>
        <row r="121">
          <cell r="A121" t="str">
            <v>쿠팡</v>
          </cell>
          <cell r="C121" t="str">
            <v>2월</v>
          </cell>
          <cell r="E121" t="str">
            <v>제품</v>
          </cell>
          <cell r="G121">
            <v>1</v>
          </cell>
          <cell r="H121">
            <v>550000</v>
          </cell>
          <cell r="I121">
            <v>0</v>
          </cell>
          <cell r="K121">
            <v>0</v>
          </cell>
        </row>
        <row r="122">
          <cell r="A122" t="str">
            <v>쿠팡</v>
          </cell>
          <cell r="C122" t="str">
            <v>2월</v>
          </cell>
          <cell r="E122" t="str">
            <v>제품</v>
          </cell>
          <cell r="G122">
            <v>1</v>
          </cell>
          <cell r="H122">
            <v>550000</v>
          </cell>
          <cell r="I122">
            <v>0</v>
          </cell>
          <cell r="K122">
            <v>0</v>
          </cell>
        </row>
        <row r="123">
          <cell r="A123" t="str">
            <v>쿠팡</v>
          </cell>
          <cell r="C123" t="str">
            <v>2월</v>
          </cell>
          <cell r="E123" t="str">
            <v>제품</v>
          </cell>
          <cell r="G123">
            <v>1</v>
          </cell>
          <cell r="H123">
            <v>550000</v>
          </cell>
          <cell r="I123">
            <v>0</v>
          </cell>
          <cell r="K123">
            <v>0</v>
          </cell>
        </row>
        <row r="124">
          <cell r="A124" t="str">
            <v>쿠팡</v>
          </cell>
          <cell r="C124" t="str">
            <v>2월</v>
          </cell>
          <cell r="E124" t="str">
            <v>제품</v>
          </cell>
          <cell r="G124">
            <v>1</v>
          </cell>
          <cell r="H124">
            <v>550000</v>
          </cell>
          <cell r="I124">
            <v>0</v>
          </cell>
          <cell r="K124">
            <v>0</v>
          </cell>
        </row>
        <row r="125">
          <cell r="A125" t="str">
            <v>쿠팡</v>
          </cell>
          <cell r="C125" t="str">
            <v>2월</v>
          </cell>
          <cell r="E125" t="str">
            <v>제품</v>
          </cell>
          <cell r="G125">
            <v>1</v>
          </cell>
          <cell r="H125">
            <v>550000</v>
          </cell>
          <cell r="I125">
            <v>0</v>
          </cell>
          <cell r="K125">
            <v>0</v>
          </cell>
        </row>
        <row r="126">
          <cell r="A126" t="str">
            <v>쿠팡</v>
          </cell>
          <cell r="C126" t="str">
            <v>2월</v>
          </cell>
          <cell r="E126" t="str">
            <v>제품</v>
          </cell>
          <cell r="G126">
            <v>1</v>
          </cell>
          <cell r="H126">
            <v>550000</v>
          </cell>
          <cell r="I126">
            <v>0</v>
          </cell>
          <cell r="K126">
            <v>0</v>
          </cell>
        </row>
        <row r="127">
          <cell r="A127" t="str">
            <v>SSG</v>
          </cell>
          <cell r="C127" t="str">
            <v>3월</v>
          </cell>
          <cell r="E127" t="str">
            <v>배송비</v>
          </cell>
          <cell r="G127">
            <v>1</v>
          </cell>
          <cell r="H127">
            <v>-37100</v>
          </cell>
          <cell r="I127">
            <v>0</v>
          </cell>
          <cell r="K127">
            <v>0</v>
          </cell>
        </row>
        <row r="128">
          <cell r="A128" t="str">
            <v>SSG</v>
          </cell>
          <cell r="C128" t="str">
            <v>3월</v>
          </cell>
          <cell r="E128" t="str">
            <v>제품</v>
          </cell>
          <cell r="G128">
            <v>1</v>
          </cell>
          <cell r="H128">
            <v>0</v>
          </cell>
          <cell r="I128">
            <v>0</v>
          </cell>
          <cell r="K128">
            <v>550000</v>
          </cell>
        </row>
        <row r="129">
          <cell r="A129" t="str">
            <v>SSG</v>
          </cell>
          <cell r="C129" t="str">
            <v>3월</v>
          </cell>
          <cell r="E129" t="str">
            <v>제품</v>
          </cell>
          <cell r="G129">
            <v>1</v>
          </cell>
          <cell r="H129">
            <v>530000</v>
          </cell>
          <cell r="I129">
            <v>0</v>
          </cell>
          <cell r="K129">
            <v>20000</v>
          </cell>
        </row>
        <row r="130">
          <cell r="A130" t="str">
            <v>SSG</v>
          </cell>
          <cell r="C130" t="str">
            <v>3월</v>
          </cell>
          <cell r="E130" t="str">
            <v>제품</v>
          </cell>
          <cell r="G130">
            <v>1</v>
          </cell>
          <cell r="H130">
            <v>450000</v>
          </cell>
          <cell r="I130">
            <v>100000</v>
          </cell>
          <cell r="K130">
            <v>0</v>
          </cell>
        </row>
        <row r="131">
          <cell r="A131" t="str">
            <v>SSG</v>
          </cell>
          <cell r="C131" t="str">
            <v>3월</v>
          </cell>
          <cell r="E131" t="str">
            <v>제품</v>
          </cell>
          <cell r="G131">
            <v>1</v>
          </cell>
          <cell r="H131">
            <v>0</v>
          </cell>
          <cell r="I131">
            <v>0</v>
          </cell>
          <cell r="K131">
            <v>550000</v>
          </cell>
        </row>
        <row r="132">
          <cell r="A132" t="str">
            <v>SSG</v>
          </cell>
          <cell r="C132" t="str">
            <v>3월</v>
          </cell>
          <cell r="E132" t="str">
            <v>제품</v>
          </cell>
          <cell r="G132">
            <v>1</v>
          </cell>
          <cell r="H132">
            <v>0</v>
          </cell>
          <cell r="I132">
            <v>0</v>
          </cell>
          <cell r="K132">
            <v>550000</v>
          </cell>
        </row>
        <row r="133">
          <cell r="A133" t="str">
            <v>SSG</v>
          </cell>
          <cell r="C133" t="str">
            <v>3월</v>
          </cell>
          <cell r="E133" t="str">
            <v>제품</v>
          </cell>
          <cell r="G133">
            <v>1</v>
          </cell>
          <cell r="H133">
            <v>547038</v>
          </cell>
          <cell r="I133">
            <v>0</v>
          </cell>
          <cell r="K133">
            <v>2962</v>
          </cell>
        </row>
        <row r="134">
          <cell r="A134" t="str">
            <v>SSG</v>
          </cell>
          <cell r="C134" t="str">
            <v>3월</v>
          </cell>
          <cell r="E134" t="str">
            <v>제품</v>
          </cell>
          <cell r="G134">
            <v>1</v>
          </cell>
          <cell r="H134">
            <v>0</v>
          </cell>
          <cell r="I134">
            <v>0</v>
          </cell>
          <cell r="K134">
            <v>550000</v>
          </cell>
        </row>
        <row r="135">
          <cell r="A135" t="str">
            <v>네이버</v>
          </cell>
          <cell r="C135" t="str">
            <v>3월</v>
          </cell>
          <cell r="E135" t="str">
            <v>제품</v>
          </cell>
          <cell r="G135">
            <v>1</v>
          </cell>
          <cell r="H135">
            <v>550000</v>
          </cell>
          <cell r="I135">
            <v>0</v>
          </cell>
          <cell r="J135">
            <v>0</v>
          </cell>
          <cell r="K135">
            <v>0</v>
          </cell>
        </row>
        <row r="136">
          <cell r="A136" t="str">
            <v>네이버</v>
          </cell>
          <cell r="C136" t="str">
            <v>3월</v>
          </cell>
          <cell r="E136" t="str">
            <v>제품</v>
          </cell>
          <cell r="G136">
            <v>1</v>
          </cell>
          <cell r="H136">
            <v>0</v>
          </cell>
          <cell r="I136">
            <v>550000</v>
          </cell>
          <cell r="J136">
            <v>0</v>
          </cell>
          <cell r="K136">
            <v>0</v>
          </cell>
        </row>
        <row r="137">
          <cell r="A137" t="str">
            <v>네이버</v>
          </cell>
          <cell r="C137" t="str">
            <v>3월</v>
          </cell>
          <cell r="E137" t="str">
            <v>제품취소</v>
          </cell>
          <cell r="G137">
            <v>-1</v>
          </cell>
          <cell r="H137">
            <v>-547486</v>
          </cell>
          <cell r="I137">
            <v>0</v>
          </cell>
          <cell r="J137">
            <v>0</v>
          </cell>
          <cell r="K137">
            <v>-2514</v>
          </cell>
        </row>
        <row r="138">
          <cell r="A138" t="str">
            <v>네이버</v>
          </cell>
          <cell r="C138" t="str">
            <v>3월</v>
          </cell>
          <cell r="E138" t="str">
            <v>배송비</v>
          </cell>
          <cell r="G138">
            <v>1</v>
          </cell>
          <cell r="H138">
            <v>9000</v>
          </cell>
          <cell r="I138">
            <v>0</v>
          </cell>
          <cell r="J138">
            <v>0</v>
          </cell>
          <cell r="K138">
            <v>0</v>
          </cell>
        </row>
        <row r="139">
          <cell r="A139" t="str">
            <v>네이버</v>
          </cell>
          <cell r="C139" t="str">
            <v>3월</v>
          </cell>
          <cell r="E139" t="str">
            <v>제품</v>
          </cell>
          <cell r="G139">
            <v>1</v>
          </cell>
          <cell r="H139">
            <v>0</v>
          </cell>
          <cell r="I139">
            <v>550000</v>
          </cell>
          <cell r="J139">
            <v>0</v>
          </cell>
          <cell r="K139">
            <v>0</v>
          </cell>
        </row>
        <row r="140">
          <cell r="A140" t="str">
            <v>네이버</v>
          </cell>
          <cell r="C140" t="str">
            <v>3월</v>
          </cell>
          <cell r="E140" t="str">
            <v>제품</v>
          </cell>
          <cell r="G140">
            <v>1</v>
          </cell>
          <cell r="H140">
            <v>550000</v>
          </cell>
          <cell r="I140">
            <v>0</v>
          </cell>
          <cell r="J140">
            <v>0</v>
          </cell>
          <cell r="K140">
            <v>0</v>
          </cell>
        </row>
        <row r="141">
          <cell r="A141" t="str">
            <v>네이버</v>
          </cell>
          <cell r="C141" t="str">
            <v>3월</v>
          </cell>
          <cell r="E141" t="str">
            <v>제품</v>
          </cell>
          <cell r="G141">
            <v>1</v>
          </cell>
          <cell r="H141">
            <v>548591</v>
          </cell>
          <cell r="I141">
            <v>0</v>
          </cell>
          <cell r="J141">
            <v>0</v>
          </cell>
          <cell r="K141">
            <v>1409</v>
          </cell>
        </row>
        <row r="142">
          <cell r="A142" t="str">
            <v>네이버</v>
          </cell>
          <cell r="C142" t="str">
            <v>3월</v>
          </cell>
          <cell r="E142" t="str">
            <v>제품</v>
          </cell>
          <cell r="G142">
            <v>1</v>
          </cell>
          <cell r="H142">
            <v>548935</v>
          </cell>
          <cell r="I142">
            <v>0</v>
          </cell>
          <cell r="J142">
            <v>0</v>
          </cell>
          <cell r="K142">
            <v>1065</v>
          </cell>
        </row>
        <row r="143">
          <cell r="A143" t="str">
            <v>네이버</v>
          </cell>
          <cell r="C143" t="str">
            <v>3월</v>
          </cell>
          <cell r="E143" t="str">
            <v>제품</v>
          </cell>
          <cell r="G143">
            <v>1</v>
          </cell>
          <cell r="H143">
            <v>550000</v>
          </cell>
          <cell r="I143">
            <v>0</v>
          </cell>
          <cell r="J143">
            <v>0</v>
          </cell>
          <cell r="K143">
            <v>0</v>
          </cell>
        </row>
        <row r="144">
          <cell r="A144" t="str">
            <v>네이버</v>
          </cell>
          <cell r="C144" t="str">
            <v>3월</v>
          </cell>
          <cell r="E144" t="str">
            <v>제품</v>
          </cell>
          <cell r="G144">
            <v>1</v>
          </cell>
          <cell r="H144">
            <v>0</v>
          </cell>
          <cell r="I144">
            <v>539972</v>
          </cell>
          <cell r="J144">
            <v>0</v>
          </cell>
          <cell r="K144">
            <v>10028</v>
          </cell>
        </row>
        <row r="145">
          <cell r="A145" t="str">
            <v>네이버</v>
          </cell>
          <cell r="C145" t="str">
            <v>3월</v>
          </cell>
          <cell r="E145" t="str">
            <v>제품</v>
          </cell>
          <cell r="G145">
            <v>1</v>
          </cell>
          <cell r="H145">
            <v>550000</v>
          </cell>
          <cell r="I145">
            <v>0</v>
          </cell>
          <cell r="J145">
            <v>0</v>
          </cell>
          <cell r="K145">
            <v>0</v>
          </cell>
        </row>
        <row r="146">
          <cell r="A146" t="str">
            <v>네이버</v>
          </cell>
          <cell r="C146" t="str">
            <v>3월</v>
          </cell>
          <cell r="E146" t="str">
            <v>사이즈미정</v>
          </cell>
          <cell r="G146">
            <v>1</v>
          </cell>
          <cell r="H146">
            <v>0</v>
          </cell>
          <cell r="I146">
            <v>359692</v>
          </cell>
          <cell r="J146">
            <v>0</v>
          </cell>
          <cell r="K146">
            <v>190308</v>
          </cell>
        </row>
        <row r="147">
          <cell r="A147" t="str">
            <v>네이버</v>
          </cell>
          <cell r="C147" t="str">
            <v>3월</v>
          </cell>
          <cell r="E147" t="str">
            <v>제품</v>
          </cell>
          <cell r="G147">
            <v>1</v>
          </cell>
          <cell r="H147">
            <v>310086.29807692301</v>
          </cell>
          <cell r="I147">
            <v>0</v>
          </cell>
          <cell r="J147">
            <v>0</v>
          </cell>
          <cell r="K147">
            <v>239913.70192307699</v>
          </cell>
        </row>
        <row r="148">
          <cell r="A148" t="str">
            <v>네이버</v>
          </cell>
          <cell r="C148" t="str">
            <v>3월</v>
          </cell>
          <cell r="E148" t="str">
            <v>부가제품</v>
          </cell>
          <cell r="G148">
            <v>1</v>
          </cell>
          <cell r="H148">
            <v>41720.7019230769</v>
          </cell>
          <cell r="I148">
            <v>0</v>
          </cell>
          <cell r="J148">
            <v>0</v>
          </cell>
          <cell r="K148">
            <v>32279.2980769231</v>
          </cell>
        </row>
        <row r="149">
          <cell r="A149" t="str">
            <v>네이버</v>
          </cell>
          <cell r="C149" t="str">
            <v>3월</v>
          </cell>
          <cell r="E149" t="str">
            <v>제품</v>
          </cell>
          <cell r="G149">
            <v>1</v>
          </cell>
          <cell r="H149">
            <v>0</v>
          </cell>
          <cell r="I149">
            <v>546527.24358974397</v>
          </cell>
          <cell r="J149">
            <v>0</v>
          </cell>
          <cell r="K149">
            <v>3472.7564102564102</v>
          </cell>
        </row>
        <row r="150">
          <cell r="A150" t="str">
            <v>네이버</v>
          </cell>
          <cell r="C150" t="str">
            <v>3월</v>
          </cell>
          <cell r="E150" t="str">
            <v>부가제품</v>
          </cell>
          <cell r="G150">
            <v>1</v>
          </cell>
          <cell r="H150">
            <v>0</v>
          </cell>
          <cell r="I150">
            <v>73533</v>
          </cell>
          <cell r="J150">
            <v>0</v>
          </cell>
          <cell r="K150">
            <v>467.24358974359001</v>
          </cell>
        </row>
        <row r="151">
          <cell r="A151" t="str">
            <v>네이버</v>
          </cell>
          <cell r="C151" t="str">
            <v>3월</v>
          </cell>
          <cell r="E151" t="str">
            <v>제품</v>
          </cell>
          <cell r="G151">
            <v>1</v>
          </cell>
          <cell r="H151">
            <v>550000</v>
          </cell>
          <cell r="I151">
            <v>0</v>
          </cell>
          <cell r="J151">
            <v>0</v>
          </cell>
          <cell r="K151">
            <v>0</v>
          </cell>
        </row>
        <row r="152">
          <cell r="A152" t="str">
            <v>네이버</v>
          </cell>
          <cell r="C152" t="str">
            <v>3월</v>
          </cell>
          <cell r="E152" t="str">
            <v>부가제품</v>
          </cell>
          <cell r="G152">
            <v>1</v>
          </cell>
          <cell r="H152">
            <v>74000</v>
          </cell>
          <cell r="I152">
            <v>0</v>
          </cell>
          <cell r="J152">
            <v>0</v>
          </cell>
          <cell r="K152">
            <v>0</v>
          </cell>
        </row>
        <row r="153">
          <cell r="A153" t="str">
            <v>네이버</v>
          </cell>
          <cell r="C153" t="str">
            <v>3월</v>
          </cell>
          <cell r="E153" t="str">
            <v>제품</v>
          </cell>
          <cell r="G153">
            <v>1</v>
          </cell>
          <cell r="H153">
            <v>550000</v>
          </cell>
          <cell r="I153">
            <v>0</v>
          </cell>
          <cell r="J153">
            <v>0</v>
          </cell>
          <cell r="K153">
            <v>0</v>
          </cell>
        </row>
        <row r="154">
          <cell r="A154" t="str">
            <v>네이버</v>
          </cell>
          <cell r="C154" t="str">
            <v>3월</v>
          </cell>
          <cell r="E154" t="str">
            <v>제품</v>
          </cell>
          <cell r="G154">
            <v>1</v>
          </cell>
          <cell r="H154">
            <v>550000</v>
          </cell>
          <cell r="I154">
            <v>0</v>
          </cell>
          <cell r="J154">
            <v>0</v>
          </cell>
          <cell r="K154">
            <v>0</v>
          </cell>
        </row>
        <row r="155">
          <cell r="A155" t="str">
            <v>네이버</v>
          </cell>
          <cell r="C155" t="str">
            <v>3월</v>
          </cell>
          <cell r="E155" t="str">
            <v>제품</v>
          </cell>
          <cell r="G155">
            <v>1</v>
          </cell>
          <cell r="H155">
            <v>517025</v>
          </cell>
          <cell r="I155">
            <v>0</v>
          </cell>
          <cell r="J155">
            <v>0</v>
          </cell>
          <cell r="K155">
            <v>32975</v>
          </cell>
        </row>
        <row r="156">
          <cell r="A156" t="str">
            <v>네이버</v>
          </cell>
          <cell r="C156" t="str">
            <v>3월</v>
          </cell>
          <cell r="E156" t="str">
            <v>제품</v>
          </cell>
          <cell r="G156">
            <v>1</v>
          </cell>
          <cell r="H156">
            <v>535172.91666666698</v>
          </cell>
          <cell r="I156">
            <v>0</v>
          </cell>
          <cell r="J156">
            <v>0</v>
          </cell>
          <cell r="K156">
            <v>14827.083333333299</v>
          </cell>
        </row>
        <row r="157">
          <cell r="A157" t="str">
            <v>네이버</v>
          </cell>
          <cell r="C157" t="str">
            <v>3월</v>
          </cell>
          <cell r="E157" t="str">
            <v>부가제품</v>
          </cell>
          <cell r="G157">
            <v>1</v>
          </cell>
          <cell r="H157">
            <v>72005.083333333299</v>
          </cell>
          <cell r="I157">
            <v>0</v>
          </cell>
          <cell r="J157">
            <v>0</v>
          </cell>
          <cell r="K157">
            <v>1994.9166666666699</v>
          </cell>
        </row>
        <row r="158">
          <cell r="A158" t="str">
            <v>네이버</v>
          </cell>
          <cell r="C158" t="str">
            <v>3월</v>
          </cell>
          <cell r="E158" t="str">
            <v>배송비</v>
          </cell>
          <cell r="G158">
            <v>1</v>
          </cell>
          <cell r="H158">
            <v>0</v>
          </cell>
          <cell r="I158">
            <v>9000</v>
          </cell>
          <cell r="J158">
            <v>0</v>
          </cell>
          <cell r="K158">
            <v>0</v>
          </cell>
        </row>
        <row r="159">
          <cell r="A159" t="str">
            <v>네이버</v>
          </cell>
          <cell r="C159" t="str">
            <v>3월</v>
          </cell>
          <cell r="E159" t="str">
            <v>제품</v>
          </cell>
          <cell r="G159">
            <v>1</v>
          </cell>
          <cell r="H159">
            <v>500314</v>
          </cell>
          <cell r="I159">
            <v>0</v>
          </cell>
          <cell r="J159">
            <v>0</v>
          </cell>
          <cell r="K159">
            <v>49686</v>
          </cell>
        </row>
        <row r="160">
          <cell r="A160" t="str">
            <v>네이버</v>
          </cell>
          <cell r="C160" t="str">
            <v>3월</v>
          </cell>
          <cell r="E160" t="str">
            <v>제품</v>
          </cell>
          <cell r="G160">
            <v>1</v>
          </cell>
          <cell r="H160">
            <v>0</v>
          </cell>
          <cell r="I160">
            <v>550000</v>
          </cell>
          <cell r="J160">
            <v>0</v>
          </cell>
          <cell r="K160">
            <v>0</v>
          </cell>
        </row>
        <row r="161">
          <cell r="A161" t="str">
            <v>네이버</v>
          </cell>
          <cell r="C161" t="str">
            <v>3월</v>
          </cell>
          <cell r="E161" t="str">
            <v>제품</v>
          </cell>
          <cell r="G161">
            <v>1</v>
          </cell>
          <cell r="H161">
            <v>550000</v>
          </cell>
          <cell r="I161">
            <v>0</v>
          </cell>
          <cell r="J161">
            <v>0</v>
          </cell>
          <cell r="K161">
            <v>0</v>
          </cell>
        </row>
        <row r="162">
          <cell r="A162" t="str">
            <v>네이버</v>
          </cell>
          <cell r="C162" t="str">
            <v>3월</v>
          </cell>
          <cell r="E162" t="str">
            <v>제품</v>
          </cell>
          <cell r="G162">
            <v>1</v>
          </cell>
          <cell r="H162">
            <v>0</v>
          </cell>
          <cell r="I162">
            <v>550000</v>
          </cell>
          <cell r="J162">
            <v>0</v>
          </cell>
          <cell r="K162">
            <v>0</v>
          </cell>
        </row>
        <row r="163">
          <cell r="A163" t="str">
            <v>네이버</v>
          </cell>
          <cell r="C163" t="str">
            <v>3월</v>
          </cell>
          <cell r="E163" t="str">
            <v>배송비</v>
          </cell>
          <cell r="G163">
            <v>1</v>
          </cell>
          <cell r="H163">
            <v>0</v>
          </cell>
          <cell r="I163">
            <v>9000</v>
          </cell>
          <cell r="J163">
            <v>0</v>
          </cell>
          <cell r="K163">
            <v>0</v>
          </cell>
        </row>
        <row r="164">
          <cell r="A164" t="str">
            <v>네이버</v>
          </cell>
          <cell r="C164" t="str">
            <v>3월</v>
          </cell>
          <cell r="E164" t="str">
            <v>제품</v>
          </cell>
          <cell r="G164">
            <v>1</v>
          </cell>
          <cell r="H164">
            <v>538207</v>
          </cell>
          <cell r="I164">
            <v>0</v>
          </cell>
          <cell r="J164">
            <v>0</v>
          </cell>
          <cell r="K164">
            <v>11793</v>
          </cell>
        </row>
        <row r="165">
          <cell r="A165" t="str">
            <v>네이버</v>
          </cell>
          <cell r="C165" t="str">
            <v>3월</v>
          </cell>
          <cell r="E165" t="str">
            <v>제품</v>
          </cell>
          <cell r="G165">
            <v>1</v>
          </cell>
          <cell r="H165">
            <v>550000</v>
          </cell>
          <cell r="I165">
            <v>0</v>
          </cell>
          <cell r="J165">
            <v>0</v>
          </cell>
          <cell r="K165">
            <v>0</v>
          </cell>
        </row>
        <row r="166">
          <cell r="A166" t="str">
            <v>네이버</v>
          </cell>
          <cell r="C166" t="str">
            <v>3월</v>
          </cell>
          <cell r="E166" t="str">
            <v>제품</v>
          </cell>
          <cell r="G166">
            <v>1</v>
          </cell>
          <cell r="H166">
            <v>550000</v>
          </cell>
          <cell r="I166">
            <v>0</v>
          </cell>
          <cell r="J166">
            <v>0</v>
          </cell>
          <cell r="K166">
            <v>0</v>
          </cell>
        </row>
        <row r="167">
          <cell r="A167" t="str">
            <v>네이버</v>
          </cell>
          <cell r="C167" t="str">
            <v>3월</v>
          </cell>
          <cell r="E167" t="str">
            <v>제품</v>
          </cell>
          <cell r="G167">
            <v>1</v>
          </cell>
          <cell r="H167">
            <v>0</v>
          </cell>
          <cell r="I167">
            <v>498464</v>
          </cell>
          <cell r="J167">
            <v>0</v>
          </cell>
          <cell r="K167">
            <v>51536</v>
          </cell>
        </row>
        <row r="168">
          <cell r="A168" t="str">
            <v>네이버</v>
          </cell>
          <cell r="C168" t="str">
            <v>3월</v>
          </cell>
          <cell r="E168" t="str">
            <v>제품</v>
          </cell>
          <cell r="G168">
            <v>1</v>
          </cell>
          <cell r="H168">
            <v>550000</v>
          </cell>
          <cell r="I168">
            <v>0</v>
          </cell>
          <cell r="J168">
            <v>0</v>
          </cell>
          <cell r="K168">
            <v>0</v>
          </cell>
        </row>
        <row r="169">
          <cell r="A169" t="str">
            <v>네이버</v>
          </cell>
          <cell r="C169" t="str">
            <v>3월</v>
          </cell>
          <cell r="E169" t="str">
            <v>제품</v>
          </cell>
          <cell r="G169">
            <v>1</v>
          </cell>
          <cell r="H169">
            <v>550000</v>
          </cell>
          <cell r="I169">
            <v>0</v>
          </cell>
          <cell r="J169">
            <v>0</v>
          </cell>
          <cell r="K169">
            <v>0</v>
          </cell>
        </row>
        <row r="170">
          <cell r="A170" t="str">
            <v>카페24</v>
          </cell>
          <cell r="C170" t="str">
            <v>3월</v>
          </cell>
          <cell r="E170" t="str">
            <v>제품</v>
          </cell>
          <cell r="G170">
            <v>1</v>
          </cell>
          <cell r="H170">
            <v>550000</v>
          </cell>
          <cell r="I170">
            <v>0</v>
          </cell>
          <cell r="J170">
            <v>0</v>
          </cell>
        </row>
        <row r="171">
          <cell r="A171" t="str">
            <v>카페24</v>
          </cell>
          <cell r="C171" t="str">
            <v>3월</v>
          </cell>
          <cell r="E171" t="str">
            <v>제품</v>
          </cell>
          <cell r="G171">
            <v>1</v>
          </cell>
          <cell r="H171">
            <v>0</v>
          </cell>
          <cell r="I171">
            <v>0</v>
          </cell>
          <cell r="J171">
            <v>550000</v>
          </cell>
        </row>
        <row r="172">
          <cell r="A172" t="str">
            <v>카페24</v>
          </cell>
          <cell r="C172" t="str">
            <v>3월</v>
          </cell>
          <cell r="E172" t="str">
            <v>제품</v>
          </cell>
          <cell r="G172">
            <v>1</v>
          </cell>
          <cell r="H172">
            <v>550000</v>
          </cell>
          <cell r="I172">
            <v>0</v>
          </cell>
        </row>
        <row r="173">
          <cell r="A173" t="str">
            <v>카페24</v>
          </cell>
          <cell r="C173" t="str">
            <v>3월</v>
          </cell>
          <cell r="E173" t="str">
            <v>제품</v>
          </cell>
          <cell r="G173">
            <v>1</v>
          </cell>
          <cell r="H173">
            <v>0</v>
          </cell>
          <cell r="I173">
            <v>550000</v>
          </cell>
        </row>
        <row r="174">
          <cell r="A174" t="str">
            <v>카페24</v>
          </cell>
          <cell r="C174" t="str">
            <v>3월</v>
          </cell>
          <cell r="E174" t="str">
            <v>부가제품</v>
          </cell>
          <cell r="G174">
            <v>1</v>
          </cell>
          <cell r="I174">
            <v>74000</v>
          </cell>
        </row>
        <row r="175">
          <cell r="A175" t="str">
            <v>카페24</v>
          </cell>
          <cell r="C175" t="str">
            <v>3월</v>
          </cell>
          <cell r="E175" t="str">
            <v>제품</v>
          </cell>
          <cell r="G175">
            <v>1</v>
          </cell>
          <cell r="H175">
            <v>550000</v>
          </cell>
          <cell r="I175">
            <v>0</v>
          </cell>
        </row>
        <row r="176">
          <cell r="A176" t="str">
            <v>카페24</v>
          </cell>
          <cell r="C176" t="str">
            <v>3월</v>
          </cell>
          <cell r="E176" t="str">
            <v>제품</v>
          </cell>
          <cell r="G176">
            <v>1</v>
          </cell>
          <cell r="H176">
            <v>550000</v>
          </cell>
          <cell r="I176">
            <v>0</v>
          </cell>
        </row>
        <row r="177">
          <cell r="A177" t="str">
            <v>카페24</v>
          </cell>
          <cell r="C177" t="str">
            <v>3월</v>
          </cell>
          <cell r="E177" t="str">
            <v>부가제품</v>
          </cell>
          <cell r="G177">
            <v>1</v>
          </cell>
          <cell r="H177">
            <v>74000</v>
          </cell>
        </row>
        <row r="178">
          <cell r="A178" t="str">
            <v>카페24</v>
          </cell>
          <cell r="C178" t="str">
            <v>3월</v>
          </cell>
          <cell r="E178" t="str">
            <v>제품</v>
          </cell>
          <cell r="G178">
            <v>1</v>
          </cell>
          <cell r="H178">
            <v>550000</v>
          </cell>
          <cell r="I178">
            <v>0</v>
          </cell>
        </row>
        <row r="179">
          <cell r="A179" t="str">
            <v>카페24</v>
          </cell>
          <cell r="C179" t="str">
            <v>3월</v>
          </cell>
          <cell r="E179" t="str">
            <v>제품</v>
          </cell>
          <cell r="G179">
            <v>1</v>
          </cell>
          <cell r="H179">
            <v>550000</v>
          </cell>
          <cell r="I179">
            <v>0</v>
          </cell>
        </row>
        <row r="180">
          <cell r="A180" t="str">
            <v>카페24</v>
          </cell>
          <cell r="C180" t="str">
            <v>3월</v>
          </cell>
          <cell r="E180" t="str">
            <v>제품</v>
          </cell>
          <cell r="G180">
            <v>1</v>
          </cell>
          <cell r="H180">
            <v>550000</v>
          </cell>
          <cell r="I180">
            <v>0</v>
          </cell>
        </row>
        <row r="181">
          <cell r="A181" t="str">
            <v>카페24</v>
          </cell>
          <cell r="C181" t="str">
            <v>3월</v>
          </cell>
          <cell r="E181" t="str">
            <v>제품</v>
          </cell>
          <cell r="G181">
            <v>1</v>
          </cell>
          <cell r="H181">
            <v>550000</v>
          </cell>
          <cell r="I181">
            <v>0</v>
          </cell>
        </row>
        <row r="182">
          <cell r="A182" t="str">
            <v>카페24</v>
          </cell>
          <cell r="C182" t="str">
            <v>3월</v>
          </cell>
          <cell r="E182" t="str">
            <v>제품</v>
          </cell>
          <cell r="G182">
            <v>1</v>
          </cell>
          <cell r="H182">
            <v>550000</v>
          </cell>
          <cell r="I182">
            <v>0</v>
          </cell>
        </row>
        <row r="183">
          <cell r="A183" t="str">
            <v>쿠팡</v>
          </cell>
          <cell r="C183" t="str">
            <v>3월</v>
          </cell>
          <cell r="E183" t="str">
            <v>제품</v>
          </cell>
          <cell r="G183">
            <v>1</v>
          </cell>
          <cell r="H183">
            <v>550000</v>
          </cell>
          <cell r="I183">
            <v>0</v>
          </cell>
          <cell r="K183">
            <v>0</v>
          </cell>
        </row>
        <row r="184">
          <cell r="A184" t="str">
            <v>쿠팡</v>
          </cell>
          <cell r="C184" t="str">
            <v>3월</v>
          </cell>
          <cell r="E184" t="str">
            <v>부가제품</v>
          </cell>
          <cell r="G184">
            <v>1</v>
          </cell>
          <cell r="H184">
            <v>74000</v>
          </cell>
          <cell r="I184">
            <v>0</v>
          </cell>
          <cell r="K184">
            <v>0</v>
          </cell>
        </row>
        <row r="185">
          <cell r="A185" t="str">
            <v>쿠팡</v>
          </cell>
          <cell r="C185" t="str">
            <v>3월</v>
          </cell>
          <cell r="E185" t="str">
            <v>제품</v>
          </cell>
          <cell r="G185">
            <v>1</v>
          </cell>
          <cell r="H185">
            <v>550000</v>
          </cell>
          <cell r="I185">
            <v>0</v>
          </cell>
          <cell r="K185">
            <v>0</v>
          </cell>
        </row>
        <row r="186">
          <cell r="A186" t="str">
            <v>쿠팡</v>
          </cell>
          <cell r="C186" t="str">
            <v>3월</v>
          </cell>
          <cell r="E186" t="str">
            <v>제품</v>
          </cell>
          <cell r="G186">
            <v>1</v>
          </cell>
          <cell r="H186">
            <v>0</v>
          </cell>
          <cell r="I186">
            <v>550000</v>
          </cell>
          <cell r="K186">
            <v>0</v>
          </cell>
        </row>
        <row r="187">
          <cell r="A187" t="str">
            <v>쿠팡</v>
          </cell>
          <cell r="C187" t="str">
            <v>3월</v>
          </cell>
          <cell r="E187" t="str">
            <v>제품</v>
          </cell>
          <cell r="G187">
            <v>1</v>
          </cell>
          <cell r="H187">
            <v>0</v>
          </cell>
          <cell r="I187">
            <v>550000</v>
          </cell>
          <cell r="K187">
            <v>0</v>
          </cell>
        </row>
        <row r="188">
          <cell r="A188" t="str">
            <v>쿠팡</v>
          </cell>
          <cell r="C188" t="str">
            <v>3월</v>
          </cell>
          <cell r="E188" t="str">
            <v>제품</v>
          </cell>
          <cell r="G188">
            <v>1</v>
          </cell>
          <cell r="H188">
            <v>550000</v>
          </cell>
          <cell r="I188">
            <v>0</v>
          </cell>
          <cell r="K188">
            <v>0</v>
          </cell>
        </row>
        <row r="189">
          <cell r="A189" t="str">
            <v>쿠팡</v>
          </cell>
          <cell r="C189" t="str">
            <v>3월</v>
          </cell>
          <cell r="E189" t="str">
            <v>제품</v>
          </cell>
          <cell r="G189">
            <v>1</v>
          </cell>
          <cell r="H189">
            <v>550000</v>
          </cell>
          <cell r="I189">
            <v>0</v>
          </cell>
          <cell r="K189">
            <v>0</v>
          </cell>
        </row>
        <row r="190">
          <cell r="A190" t="str">
            <v>쿠팡</v>
          </cell>
          <cell r="C190" t="str">
            <v>3월</v>
          </cell>
          <cell r="E190" t="str">
            <v>제품</v>
          </cell>
          <cell r="G190">
            <v>1</v>
          </cell>
          <cell r="H190">
            <v>550000</v>
          </cell>
          <cell r="I190">
            <v>0</v>
          </cell>
          <cell r="K190">
            <v>0</v>
          </cell>
        </row>
        <row r="191">
          <cell r="A191" t="str">
            <v>쿠팡</v>
          </cell>
          <cell r="C191" t="str">
            <v>3월</v>
          </cell>
          <cell r="E191" t="str">
            <v>사이즈미정</v>
          </cell>
          <cell r="G191">
            <v>-1</v>
          </cell>
          <cell r="H191">
            <v>-550000</v>
          </cell>
          <cell r="I191">
            <v>0</v>
          </cell>
          <cell r="K191">
            <v>0</v>
          </cell>
        </row>
        <row r="192">
          <cell r="A192" t="str">
            <v>쿠팡</v>
          </cell>
          <cell r="C192" t="str">
            <v>3월</v>
          </cell>
          <cell r="E192" t="str">
            <v>배송비</v>
          </cell>
          <cell r="G192">
            <v>1</v>
          </cell>
          <cell r="H192">
            <v>9000</v>
          </cell>
          <cell r="I192">
            <v>0</v>
          </cell>
          <cell r="K192">
            <v>0</v>
          </cell>
        </row>
        <row r="193">
          <cell r="A193" t="str">
            <v>쿠팡</v>
          </cell>
          <cell r="C193" t="str">
            <v>3월</v>
          </cell>
          <cell r="E193" t="str">
            <v>제품</v>
          </cell>
          <cell r="G193">
            <v>1</v>
          </cell>
          <cell r="H193">
            <v>550000</v>
          </cell>
          <cell r="I193">
            <v>0</v>
          </cell>
          <cell r="K193">
            <v>0</v>
          </cell>
        </row>
        <row r="194">
          <cell r="A194" t="str">
            <v>쿠팡</v>
          </cell>
          <cell r="C194" t="str">
            <v>3월</v>
          </cell>
          <cell r="E194" t="str">
            <v>제품</v>
          </cell>
          <cell r="G194">
            <v>1</v>
          </cell>
          <cell r="H194">
            <v>550000</v>
          </cell>
          <cell r="I194">
            <v>0</v>
          </cell>
          <cell r="K194">
            <v>0</v>
          </cell>
        </row>
        <row r="195">
          <cell r="A195" t="str">
            <v>쿠팡</v>
          </cell>
          <cell r="C195" t="str">
            <v>3월</v>
          </cell>
          <cell r="E195" t="str">
            <v>제품</v>
          </cell>
          <cell r="G195">
            <v>1</v>
          </cell>
          <cell r="H195">
            <v>550000</v>
          </cell>
          <cell r="I195">
            <v>0</v>
          </cell>
          <cell r="K195">
            <v>0</v>
          </cell>
        </row>
        <row r="196">
          <cell r="A196" t="str">
            <v>쿠팡</v>
          </cell>
          <cell r="C196" t="str">
            <v>3월</v>
          </cell>
          <cell r="E196" t="str">
            <v>제품</v>
          </cell>
          <cell r="G196">
            <v>1</v>
          </cell>
          <cell r="H196">
            <v>550000</v>
          </cell>
          <cell r="I196">
            <v>0</v>
          </cell>
          <cell r="K196">
            <v>0</v>
          </cell>
        </row>
        <row r="197">
          <cell r="A197" t="str">
            <v>쿠팡</v>
          </cell>
          <cell r="C197" t="str">
            <v>3월</v>
          </cell>
          <cell r="E197" t="str">
            <v>제품</v>
          </cell>
          <cell r="G197">
            <v>1</v>
          </cell>
          <cell r="H197">
            <v>550000</v>
          </cell>
          <cell r="I197">
            <v>0</v>
          </cell>
          <cell r="K197">
            <v>0</v>
          </cell>
        </row>
        <row r="198">
          <cell r="A198" t="str">
            <v>쿠팡</v>
          </cell>
          <cell r="C198" t="str">
            <v>3월</v>
          </cell>
          <cell r="E198" t="str">
            <v>제품</v>
          </cell>
          <cell r="G198">
            <v>1</v>
          </cell>
          <cell r="H198">
            <v>542990</v>
          </cell>
          <cell r="I198">
            <v>0</v>
          </cell>
          <cell r="K198">
            <v>7010</v>
          </cell>
        </row>
        <row r="199">
          <cell r="A199" t="str">
            <v>쿠팡</v>
          </cell>
          <cell r="C199" t="str">
            <v>3월</v>
          </cell>
          <cell r="E199" t="str">
            <v>사이즈미정</v>
          </cell>
          <cell r="G199">
            <v>1</v>
          </cell>
          <cell r="H199">
            <v>550000</v>
          </cell>
          <cell r="I199">
            <v>0</v>
          </cell>
          <cell r="K199">
            <v>0</v>
          </cell>
        </row>
        <row r="200">
          <cell r="A200" t="str">
            <v>쿠팡</v>
          </cell>
          <cell r="C200" t="str">
            <v>3월</v>
          </cell>
          <cell r="E200" t="str">
            <v>제품</v>
          </cell>
          <cell r="G200">
            <v>1</v>
          </cell>
          <cell r="H200">
            <v>0</v>
          </cell>
          <cell r="I200">
            <v>550000</v>
          </cell>
          <cell r="K200">
            <v>0</v>
          </cell>
        </row>
        <row r="201">
          <cell r="A201" t="str">
            <v>쿠팡</v>
          </cell>
          <cell r="C201" t="str">
            <v>3월</v>
          </cell>
          <cell r="E201" t="str">
            <v>제품</v>
          </cell>
          <cell r="G201">
            <v>1</v>
          </cell>
          <cell r="H201">
            <v>0</v>
          </cell>
          <cell r="I201">
            <v>550000</v>
          </cell>
          <cell r="K201">
            <v>0</v>
          </cell>
        </row>
        <row r="202">
          <cell r="A202" t="str">
            <v>쿠팡</v>
          </cell>
          <cell r="C202" t="str">
            <v>3월</v>
          </cell>
          <cell r="E202" t="str">
            <v>제품취소</v>
          </cell>
          <cell r="G202">
            <v>-1</v>
          </cell>
          <cell r="H202">
            <v>-550000</v>
          </cell>
          <cell r="I202">
            <v>0</v>
          </cell>
          <cell r="K202">
            <v>0</v>
          </cell>
        </row>
        <row r="203">
          <cell r="A203" t="str">
            <v>SSG</v>
          </cell>
          <cell r="C203" t="str">
            <v>4월</v>
          </cell>
          <cell r="E203" t="str">
            <v>제품</v>
          </cell>
          <cell r="G203">
            <v>1</v>
          </cell>
          <cell r="K203">
            <v>550000</v>
          </cell>
        </row>
        <row r="204">
          <cell r="A204" t="str">
            <v>SSG</v>
          </cell>
          <cell r="C204" t="str">
            <v>4월</v>
          </cell>
          <cell r="E204" t="str">
            <v>제품</v>
          </cell>
          <cell r="G204">
            <v>1</v>
          </cell>
          <cell r="K204">
            <v>550000</v>
          </cell>
        </row>
        <row r="205">
          <cell r="A205" t="str">
            <v>SSG</v>
          </cell>
          <cell r="C205" t="str">
            <v>4월</v>
          </cell>
          <cell r="E205" t="str">
            <v>제품</v>
          </cell>
          <cell r="G205">
            <v>1</v>
          </cell>
          <cell r="H205">
            <v>0</v>
          </cell>
          <cell r="I205">
            <v>550000</v>
          </cell>
          <cell r="K205">
            <v>0</v>
          </cell>
        </row>
        <row r="206">
          <cell r="A206" t="str">
            <v>SSG</v>
          </cell>
          <cell r="C206" t="str">
            <v>4월</v>
          </cell>
          <cell r="E206" t="str">
            <v>제품</v>
          </cell>
          <cell r="G206">
            <v>1</v>
          </cell>
          <cell r="H206">
            <v>0</v>
          </cell>
          <cell r="K206">
            <v>550000</v>
          </cell>
        </row>
        <row r="207">
          <cell r="A207" t="str">
            <v>SSG</v>
          </cell>
          <cell r="C207" t="str">
            <v>4월</v>
          </cell>
          <cell r="E207" t="str">
            <v>제품</v>
          </cell>
          <cell r="G207">
            <v>1</v>
          </cell>
          <cell r="H207">
            <v>0</v>
          </cell>
          <cell r="K207">
            <v>550000</v>
          </cell>
        </row>
        <row r="208">
          <cell r="A208" t="str">
            <v>SSG</v>
          </cell>
          <cell r="C208" t="str">
            <v>4월</v>
          </cell>
          <cell r="E208" t="str">
            <v>제품</v>
          </cell>
          <cell r="G208">
            <v>1</v>
          </cell>
          <cell r="H208">
            <v>0</v>
          </cell>
          <cell r="K208">
            <v>550000</v>
          </cell>
        </row>
        <row r="209">
          <cell r="A209" t="str">
            <v>SSG</v>
          </cell>
          <cell r="C209" t="str">
            <v>4월</v>
          </cell>
          <cell r="E209" t="str">
            <v>제품</v>
          </cell>
          <cell r="G209">
            <v>1</v>
          </cell>
          <cell r="H209">
            <v>0</v>
          </cell>
          <cell r="K209">
            <v>550000</v>
          </cell>
        </row>
        <row r="210">
          <cell r="A210" t="str">
            <v>SSG</v>
          </cell>
          <cell r="C210" t="str">
            <v>4월</v>
          </cell>
          <cell r="E210" t="str">
            <v>제품</v>
          </cell>
          <cell r="G210">
            <v>1</v>
          </cell>
          <cell r="H210">
            <v>0</v>
          </cell>
          <cell r="K210">
            <v>550000</v>
          </cell>
        </row>
        <row r="211">
          <cell r="A211" t="str">
            <v>SSG</v>
          </cell>
          <cell r="C211" t="str">
            <v>4월</v>
          </cell>
          <cell r="E211" t="str">
            <v>제품</v>
          </cell>
          <cell r="G211">
            <v>1</v>
          </cell>
          <cell r="H211">
            <v>0</v>
          </cell>
          <cell r="I211">
            <v>550000</v>
          </cell>
        </row>
        <row r="212">
          <cell r="A212" t="str">
            <v>SSG</v>
          </cell>
          <cell r="C212" t="str">
            <v>4월</v>
          </cell>
          <cell r="E212" t="str">
            <v>배송비</v>
          </cell>
          <cell r="G212">
            <v>1</v>
          </cell>
        </row>
        <row r="213">
          <cell r="A213" t="str">
            <v>SSG</v>
          </cell>
          <cell r="C213" t="str">
            <v>4월</v>
          </cell>
          <cell r="E213" t="str">
            <v>배송비</v>
          </cell>
          <cell r="G213">
            <v>1</v>
          </cell>
        </row>
        <row r="214">
          <cell r="A214" t="str">
            <v>SSG</v>
          </cell>
          <cell r="C214" t="str">
            <v>4월</v>
          </cell>
          <cell r="E214" t="str">
            <v>배송비</v>
          </cell>
          <cell r="G214">
            <v>1</v>
          </cell>
        </row>
        <row r="215">
          <cell r="A215" t="str">
            <v>네이버</v>
          </cell>
          <cell r="C215" t="str">
            <v>4월</v>
          </cell>
          <cell r="E215" t="str">
            <v>제품</v>
          </cell>
          <cell r="G215">
            <v>1</v>
          </cell>
          <cell r="H215">
            <v>0</v>
          </cell>
          <cell r="I215">
            <v>549000</v>
          </cell>
          <cell r="K215">
            <v>1000</v>
          </cell>
        </row>
        <row r="216">
          <cell r="A216" t="str">
            <v>네이버</v>
          </cell>
          <cell r="C216" t="str">
            <v>4월</v>
          </cell>
          <cell r="E216" t="str">
            <v>제품</v>
          </cell>
          <cell r="G216">
            <v>1</v>
          </cell>
          <cell r="H216">
            <v>550000</v>
          </cell>
          <cell r="I216">
            <v>0</v>
          </cell>
          <cell r="K216">
            <v>0</v>
          </cell>
        </row>
        <row r="217">
          <cell r="A217" t="str">
            <v>네이버</v>
          </cell>
          <cell r="C217" t="str">
            <v>4월</v>
          </cell>
          <cell r="E217" t="str">
            <v>제품</v>
          </cell>
          <cell r="G217">
            <v>1</v>
          </cell>
          <cell r="H217">
            <v>550000</v>
          </cell>
        </row>
        <row r="218">
          <cell r="A218" t="str">
            <v>네이버</v>
          </cell>
          <cell r="C218" t="str">
            <v>4월</v>
          </cell>
          <cell r="E218" t="str">
            <v>제품</v>
          </cell>
          <cell r="G218">
            <v>1</v>
          </cell>
          <cell r="H218">
            <v>550000</v>
          </cell>
          <cell r="I218">
            <v>0</v>
          </cell>
          <cell r="K218">
            <v>0</v>
          </cell>
        </row>
        <row r="219">
          <cell r="A219" t="str">
            <v>네이버</v>
          </cell>
          <cell r="C219" t="str">
            <v>4월</v>
          </cell>
          <cell r="E219" t="str">
            <v>부가제품</v>
          </cell>
          <cell r="G219">
            <v>1</v>
          </cell>
          <cell r="H219">
            <v>74000</v>
          </cell>
        </row>
        <row r="220">
          <cell r="A220" t="str">
            <v>네이버</v>
          </cell>
          <cell r="C220" t="str">
            <v>4월</v>
          </cell>
          <cell r="E220" t="str">
            <v>제품</v>
          </cell>
          <cell r="G220">
            <v>1</v>
          </cell>
          <cell r="H220">
            <v>550000</v>
          </cell>
          <cell r="I220">
            <v>0</v>
          </cell>
          <cell r="K220">
            <v>0</v>
          </cell>
        </row>
        <row r="221">
          <cell r="A221" t="str">
            <v>네이버</v>
          </cell>
          <cell r="C221" t="str">
            <v>4월</v>
          </cell>
          <cell r="E221" t="str">
            <v>제품</v>
          </cell>
          <cell r="G221">
            <v>1</v>
          </cell>
          <cell r="H221">
            <v>548334</v>
          </cell>
          <cell r="I221">
            <v>0</v>
          </cell>
          <cell r="K221">
            <v>1666</v>
          </cell>
        </row>
        <row r="222">
          <cell r="A222" t="str">
            <v>네이버</v>
          </cell>
          <cell r="C222" t="str">
            <v>4월</v>
          </cell>
          <cell r="E222" t="str">
            <v>제품</v>
          </cell>
          <cell r="G222">
            <v>1</v>
          </cell>
          <cell r="H222">
            <v>0</v>
          </cell>
          <cell r="I222">
            <v>546023</v>
          </cell>
          <cell r="K222">
            <v>3977</v>
          </cell>
        </row>
        <row r="223">
          <cell r="A223" t="str">
            <v>네이버</v>
          </cell>
          <cell r="C223" t="str">
            <v>4월</v>
          </cell>
          <cell r="E223" t="str">
            <v>제품</v>
          </cell>
          <cell r="G223">
            <v>1</v>
          </cell>
          <cell r="H223">
            <v>489181</v>
          </cell>
          <cell r="I223">
            <v>0</v>
          </cell>
          <cell r="K223">
            <v>60819</v>
          </cell>
        </row>
        <row r="224">
          <cell r="A224" t="str">
            <v>네이버</v>
          </cell>
          <cell r="C224" t="str">
            <v>4월</v>
          </cell>
          <cell r="E224" t="str">
            <v>제품</v>
          </cell>
          <cell r="G224">
            <v>1</v>
          </cell>
          <cell r="H224">
            <v>550000</v>
          </cell>
          <cell r="I224">
            <v>0</v>
          </cell>
          <cell r="K224">
            <v>0</v>
          </cell>
        </row>
        <row r="225">
          <cell r="A225" t="str">
            <v>네이버</v>
          </cell>
          <cell r="C225" t="str">
            <v>4월</v>
          </cell>
          <cell r="E225" t="str">
            <v>제품</v>
          </cell>
          <cell r="G225">
            <v>1</v>
          </cell>
          <cell r="H225">
            <v>550000</v>
          </cell>
          <cell r="I225">
            <v>0</v>
          </cell>
          <cell r="K225">
            <v>0</v>
          </cell>
        </row>
        <row r="226">
          <cell r="A226" t="str">
            <v>네이버</v>
          </cell>
          <cell r="C226" t="str">
            <v>4월</v>
          </cell>
          <cell r="E226" t="str">
            <v>제품</v>
          </cell>
          <cell r="G226">
            <v>1</v>
          </cell>
          <cell r="H226">
            <v>550000</v>
          </cell>
          <cell r="I226">
            <v>0</v>
          </cell>
          <cell r="K226">
            <v>0</v>
          </cell>
        </row>
        <row r="227">
          <cell r="A227" t="str">
            <v>네이버</v>
          </cell>
          <cell r="C227" t="str">
            <v>4월</v>
          </cell>
          <cell r="E227" t="str">
            <v>제품</v>
          </cell>
          <cell r="G227">
            <v>1</v>
          </cell>
          <cell r="H227">
            <v>547263</v>
          </cell>
          <cell r="I227">
            <v>711</v>
          </cell>
          <cell r="K227">
            <v>2026</v>
          </cell>
        </row>
        <row r="228">
          <cell r="A228" t="str">
            <v>네이버</v>
          </cell>
          <cell r="C228" t="str">
            <v>4월</v>
          </cell>
          <cell r="E228" t="str">
            <v>제품</v>
          </cell>
          <cell r="G228">
            <v>1</v>
          </cell>
          <cell r="H228">
            <v>543706</v>
          </cell>
          <cell r="I228">
            <v>0</v>
          </cell>
          <cell r="K228">
            <v>6294</v>
          </cell>
        </row>
        <row r="229">
          <cell r="A229" t="str">
            <v>네이버</v>
          </cell>
          <cell r="C229" t="str">
            <v>4월</v>
          </cell>
          <cell r="E229" t="str">
            <v>제품</v>
          </cell>
          <cell r="G229">
            <v>1</v>
          </cell>
          <cell r="H229">
            <v>545971.07371794898</v>
          </cell>
          <cell r="I229">
            <v>4028.9262820512799</v>
          </cell>
          <cell r="K229">
            <v>0</v>
          </cell>
        </row>
        <row r="230">
          <cell r="A230" t="str">
            <v>네이버</v>
          </cell>
          <cell r="C230" t="str">
            <v>4월</v>
          </cell>
          <cell r="E230" t="str">
            <v>부가제품</v>
          </cell>
          <cell r="G230">
            <v>1</v>
          </cell>
          <cell r="H230">
            <v>73457.926282051296</v>
          </cell>
          <cell r="I230">
            <v>542.07371794871801</v>
          </cell>
        </row>
        <row r="231">
          <cell r="A231" t="str">
            <v>네이버</v>
          </cell>
          <cell r="C231" t="str">
            <v>4월</v>
          </cell>
          <cell r="E231" t="str">
            <v>제품</v>
          </cell>
          <cell r="G231">
            <v>1</v>
          </cell>
          <cell r="H231">
            <v>550000</v>
          </cell>
          <cell r="I231">
            <v>0</v>
          </cell>
          <cell r="K231">
            <v>0</v>
          </cell>
        </row>
        <row r="232">
          <cell r="A232" t="str">
            <v>네이버</v>
          </cell>
          <cell r="C232" t="str">
            <v>4월</v>
          </cell>
          <cell r="E232" t="str">
            <v>제품</v>
          </cell>
          <cell r="G232">
            <v>1</v>
          </cell>
          <cell r="H232">
            <v>0</v>
          </cell>
          <cell r="I232">
            <v>540886</v>
          </cell>
          <cell r="K232">
            <v>9114</v>
          </cell>
        </row>
        <row r="233">
          <cell r="A233" t="str">
            <v>네이버</v>
          </cell>
          <cell r="C233" t="str">
            <v>4월</v>
          </cell>
          <cell r="E233" t="str">
            <v>사이즈미정</v>
          </cell>
          <cell r="G233">
            <v>1</v>
          </cell>
          <cell r="H233">
            <v>0</v>
          </cell>
          <cell r="I233">
            <v>550000</v>
          </cell>
          <cell r="K233">
            <v>0</v>
          </cell>
        </row>
        <row r="234">
          <cell r="A234" t="str">
            <v>네이버</v>
          </cell>
          <cell r="C234" t="str">
            <v>4월</v>
          </cell>
          <cell r="E234" t="str">
            <v>제품</v>
          </cell>
          <cell r="G234">
            <v>1</v>
          </cell>
          <cell r="H234">
            <v>550000</v>
          </cell>
          <cell r="I234">
            <v>0</v>
          </cell>
          <cell r="K234">
            <v>0</v>
          </cell>
        </row>
        <row r="235">
          <cell r="A235" t="str">
            <v>네이버</v>
          </cell>
          <cell r="C235" t="str">
            <v>4월</v>
          </cell>
          <cell r="E235" t="str">
            <v>제품</v>
          </cell>
          <cell r="G235">
            <v>1</v>
          </cell>
          <cell r="H235">
            <v>550000</v>
          </cell>
          <cell r="I235">
            <v>0</v>
          </cell>
          <cell r="K235">
            <v>0</v>
          </cell>
        </row>
        <row r="236">
          <cell r="A236" t="str">
            <v>네이버</v>
          </cell>
          <cell r="C236" t="str">
            <v>4월</v>
          </cell>
          <cell r="E236" t="str">
            <v>제품</v>
          </cell>
          <cell r="G236">
            <v>1</v>
          </cell>
          <cell r="H236">
            <v>550000</v>
          </cell>
        </row>
        <row r="237">
          <cell r="A237" t="str">
            <v>네이버</v>
          </cell>
          <cell r="C237" t="str">
            <v>4월</v>
          </cell>
          <cell r="E237" t="str">
            <v>배송비</v>
          </cell>
          <cell r="G237">
            <v>1</v>
          </cell>
          <cell r="H237">
            <v>9000</v>
          </cell>
          <cell r="I237">
            <v>0</v>
          </cell>
          <cell r="K237">
            <v>0</v>
          </cell>
        </row>
        <row r="238">
          <cell r="A238" t="str">
            <v>네이버</v>
          </cell>
          <cell r="C238" t="str">
            <v>4월</v>
          </cell>
          <cell r="E238" t="str">
            <v>제품</v>
          </cell>
          <cell r="G238">
            <v>1</v>
          </cell>
          <cell r="H238">
            <v>550000</v>
          </cell>
          <cell r="I238">
            <v>0</v>
          </cell>
          <cell r="K238">
            <v>0</v>
          </cell>
        </row>
        <row r="239">
          <cell r="A239" t="str">
            <v>네이버</v>
          </cell>
          <cell r="C239" t="str">
            <v>4월</v>
          </cell>
          <cell r="E239" t="str">
            <v>제품</v>
          </cell>
          <cell r="G239">
            <v>1</v>
          </cell>
          <cell r="H239">
            <v>0</v>
          </cell>
          <cell r="I239">
            <v>515985</v>
          </cell>
          <cell r="K239">
            <v>34015</v>
          </cell>
        </row>
        <row r="240">
          <cell r="A240" t="str">
            <v>네이버</v>
          </cell>
          <cell r="C240" t="str">
            <v>4월</v>
          </cell>
          <cell r="E240" t="str">
            <v>배송비</v>
          </cell>
          <cell r="G240">
            <v>1</v>
          </cell>
          <cell r="H240">
            <v>0</v>
          </cell>
          <cell r="I240">
            <v>0</v>
          </cell>
          <cell r="K240">
            <v>9000</v>
          </cell>
        </row>
        <row r="241">
          <cell r="A241" t="str">
            <v>네이버</v>
          </cell>
          <cell r="C241" t="str">
            <v>4월</v>
          </cell>
          <cell r="E241" t="str">
            <v>제품</v>
          </cell>
          <cell r="G241">
            <v>1</v>
          </cell>
          <cell r="H241">
            <v>548135</v>
          </cell>
          <cell r="I241">
            <v>0</v>
          </cell>
          <cell r="K241">
            <v>1865</v>
          </cell>
        </row>
        <row r="242">
          <cell r="A242" t="str">
            <v>네이버</v>
          </cell>
          <cell r="C242" t="str">
            <v>4월</v>
          </cell>
          <cell r="E242" t="str">
            <v>배송비</v>
          </cell>
          <cell r="G242">
            <v>1</v>
          </cell>
          <cell r="H242">
            <v>8008</v>
          </cell>
          <cell r="I242">
            <v>0</v>
          </cell>
          <cell r="K242">
            <v>992</v>
          </cell>
        </row>
        <row r="243">
          <cell r="A243" t="str">
            <v>네이버</v>
          </cell>
          <cell r="C243" t="str">
            <v>4월</v>
          </cell>
          <cell r="E243" t="str">
            <v>제품</v>
          </cell>
          <cell r="G243">
            <v>1</v>
          </cell>
          <cell r="H243">
            <v>0</v>
          </cell>
          <cell r="I243">
            <v>550000</v>
          </cell>
          <cell r="K243">
            <v>0</v>
          </cell>
        </row>
        <row r="244">
          <cell r="A244" t="str">
            <v>네이버</v>
          </cell>
          <cell r="C244" t="str">
            <v>4월</v>
          </cell>
          <cell r="E244" t="str">
            <v>사이즈미정</v>
          </cell>
          <cell r="G244">
            <v>-1</v>
          </cell>
          <cell r="H244">
            <v>0</v>
          </cell>
          <cell r="I244">
            <v>-550000</v>
          </cell>
          <cell r="K244">
            <v>0</v>
          </cell>
        </row>
        <row r="245">
          <cell r="A245" t="str">
            <v>네이버</v>
          </cell>
          <cell r="C245" t="str">
            <v>4월</v>
          </cell>
          <cell r="E245" t="str">
            <v>제품</v>
          </cell>
          <cell r="G245">
            <v>1</v>
          </cell>
          <cell r="H245">
            <v>550000</v>
          </cell>
          <cell r="I245">
            <v>0</v>
          </cell>
          <cell r="K245">
            <v>0</v>
          </cell>
        </row>
        <row r="246">
          <cell r="A246" t="str">
            <v>네이버</v>
          </cell>
          <cell r="C246" t="str">
            <v>4월</v>
          </cell>
          <cell r="E246" t="str">
            <v>제품</v>
          </cell>
          <cell r="G246">
            <v>1</v>
          </cell>
          <cell r="H246">
            <v>550000</v>
          </cell>
          <cell r="I246">
            <v>0</v>
          </cell>
          <cell r="K246">
            <v>0</v>
          </cell>
        </row>
        <row r="247">
          <cell r="A247" t="str">
            <v>네이버</v>
          </cell>
          <cell r="C247" t="str">
            <v>4월</v>
          </cell>
          <cell r="E247" t="str">
            <v>제품</v>
          </cell>
          <cell r="G247">
            <v>1</v>
          </cell>
          <cell r="H247">
            <v>547467</v>
          </cell>
          <cell r="I247">
            <v>1957</v>
          </cell>
          <cell r="K247">
            <v>576</v>
          </cell>
        </row>
        <row r="248">
          <cell r="A248" t="str">
            <v>네이버</v>
          </cell>
          <cell r="C248" t="str">
            <v>4월</v>
          </cell>
          <cell r="E248" t="str">
            <v>제품</v>
          </cell>
          <cell r="G248">
            <v>1</v>
          </cell>
          <cell r="H248">
            <v>550000</v>
          </cell>
          <cell r="I248">
            <v>0</v>
          </cell>
          <cell r="K248">
            <v>0</v>
          </cell>
        </row>
        <row r="249">
          <cell r="A249" t="str">
            <v>네이버</v>
          </cell>
          <cell r="C249" t="str">
            <v>4월</v>
          </cell>
          <cell r="E249" t="str">
            <v>제품</v>
          </cell>
          <cell r="G249">
            <v>1</v>
          </cell>
          <cell r="H249">
            <v>550000</v>
          </cell>
          <cell r="I249">
            <v>0</v>
          </cell>
          <cell r="K249">
            <v>0</v>
          </cell>
        </row>
        <row r="250">
          <cell r="A250" t="str">
            <v>네이버</v>
          </cell>
          <cell r="C250" t="str">
            <v>4월</v>
          </cell>
          <cell r="E250" t="str">
            <v>제품</v>
          </cell>
          <cell r="G250">
            <v>1</v>
          </cell>
          <cell r="H250">
            <v>550000</v>
          </cell>
          <cell r="I250">
            <v>0</v>
          </cell>
          <cell r="K250">
            <v>0</v>
          </cell>
        </row>
        <row r="251">
          <cell r="A251" t="str">
            <v>네이버</v>
          </cell>
          <cell r="C251" t="str">
            <v>4월</v>
          </cell>
          <cell r="E251" t="str">
            <v>제품</v>
          </cell>
          <cell r="G251">
            <v>1</v>
          </cell>
          <cell r="H251">
            <v>0</v>
          </cell>
          <cell r="I251">
            <v>550000</v>
          </cell>
          <cell r="K251">
            <v>0</v>
          </cell>
        </row>
        <row r="252">
          <cell r="A252" t="str">
            <v>네이버</v>
          </cell>
          <cell r="C252" t="str">
            <v>4월</v>
          </cell>
          <cell r="E252" t="str">
            <v>제품</v>
          </cell>
          <cell r="G252">
            <v>1</v>
          </cell>
          <cell r="H252">
            <v>0</v>
          </cell>
          <cell r="I252">
            <v>548636</v>
          </cell>
          <cell r="K252">
            <v>1364</v>
          </cell>
        </row>
        <row r="253">
          <cell r="A253" t="str">
            <v>네이버</v>
          </cell>
          <cell r="C253" t="str">
            <v>4월</v>
          </cell>
          <cell r="E253" t="str">
            <v>사이즈미정</v>
          </cell>
          <cell r="G253">
            <v>1</v>
          </cell>
          <cell r="H253">
            <v>549996</v>
          </cell>
          <cell r="I253">
            <v>0</v>
          </cell>
          <cell r="K253">
            <v>4</v>
          </cell>
        </row>
        <row r="254">
          <cell r="A254" t="str">
            <v>네이버</v>
          </cell>
          <cell r="C254" t="str">
            <v>4월</v>
          </cell>
          <cell r="E254" t="str">
            <v>사이즈미정</v>
          </cell>
          <cell r="G254">
            <v>1</v>
          </cell>
          <cell r="H254">
            <v>623996</v>
          </cell>
          <cell r="I254">
            <v>0</v>
          </cell>
          <cell r="K254">
            <v>4</v>
          </cell>
        </row>
        <row r="255">
          <cell r="A255" t="str">
            <v>네이버</v>
          </cell>
          <cell r="C255" t="str">
            <v>4월</v>
          </cell>
          <cell r="E255" t="str">
            <v>제품</v>
          </cell>
          <cell r="G255">
            <v>1</v>
          </cell>
          <cell r="H255">
            <v>550000</v>
          </cell>
          <cell r="I255">
            <v>0</v>
          </cell>
          <cell r="K255">
            <v>0</v>
          </cell>
        </row>
        <row r="256">
          <cell r="A256" t="str">
            <v>네이버</v>
          </cell>
          <cell r="C256" t="str">
            <v>4월</v>
          </cell>
          <cell r="E256" t="str">
            <v>제품</v>
          </cell>
          <cell r="G256">
            <v>1</v>
          </cell>
          <cell r="H256">
            <v>550000</v>
          </cell>
          <cell r="I256">
            <v>0</v>
          </cell>
          <cell r="K256">
            <v>0</v>
          </cell>
        </row>
        <row r="257">
          <cell r="A257" t="str">
            <v>네이버</v>
          </cell>
          <cell r="C257" t="str">
            <v>4월</v>
          </cell>
          <cell r="E257" t="str">
            <v>사이즈미정</v>
          </cell>
          <cell r="G257">
            <v>1</v>
          </cell>
          <cell r="H257">
            <v>543245</v>
          </cell>
          <cell r="I257">
            <v>6755</v>
          </cell>
          <cell r="K257">
            <v>0</v>
          </cell>
        </row>
        <row r="258">
          <cell r="A258" t="str">
            <v>네이버</v>
          </cell>
          <cell r="C258" t="str">
            <v>4월</v>
          </cell>
          <cell r="E258" t="str">
            <v>제품확정</v>
          </cell>
          <cell r="G258">
            <v>1</v>
          </cell>
        </row>
        <row r="259">
          <cell r="A259" t="str">
            <v>베네피아</v>
          </cell>
          <cell r="C259" t="str">
            <v>4월</v>
          </cell>
          <cell r="E259" t="str">
            <v>제품</v>
          </cell>
          <cell r="G259">
            <v>1</v>
          </cell>
          <cell r="J259">
            <v>467500</v>
          </cell>
        </row>
        <row r="260">
          <cell r="A260" t="str">
            <v>카페24</v>
          </cell>
          <cell r="C260" t="str">
            <v>4월</v>
          </cell>
          <cell r="E260" t="str">
            <v>제품</v>
          </cell>
          <cell r="G260">
            <v>1</v>
          </cell>
          <cell r="H260">
            <v>550000</v>
          </cell>
          <cell r="I260">
            <v>0</v>
          </cell>
        </row>
        <row r="261">
          <cell r="A261" t="str">
            <v>카페24</v>
          </cell>
          <cell r="C261" t="str">
            <v>4월</v>
          </cell>
          <cell r="E261" t="str">
            <v>제품</v>
          </cell>
          <cell r="G261">
            <v>1</v>
          </cell>
          <cell r="H261">
            <v>550000</v>
          </cell>
        </row>
        <row r="262">
          <cell r="A262" t="str">
            <v>카페24</v>
          </cell>
          <cell r="C262" t="str">
            <v>4월</v>
          </cell>
          <cell r="E262" t="str">
            <v>제품</v>
          </cell>
          <cell r="G262">
            <v>1</v>
          </cell>
          <cell r="H262">
            <v>0</v>
          </cell>
          <cell r="I262">
            <v>0</v>
          </cell>
          <cell r="J262">
            <v>550000</v>
          </cell>
        </row>
        <row r="263">
          <cell r="A263" t="str">
            <v>카페24</v>
          </cell>
          <cell r="C263" t="str">
            <v>4월</v>
          </cell>
          <cell r="E263" t="str">
            <v>제품</v>
          </cell>
          <cell r="G263">
            <v>1</v>
          </cell>
          <cell r="H263">
            <v>550000</v>
          </cell>
          <cell r="I263">
            <v>0</v>
          </cell>
        </row>
        <row r="264">
          <cell r="A264" t="str">
            <v>쿠팡</v>
          </cell>
          <cell r="C264" t="str">
            <v>4월</v>
          </cell>
          <cell r="E264" t="str">
            <v>제품</v>
          </cell>
          <cell r="G264">
            <v>1</v>
          </cell>
          <cell r="H264">
            <v>550000</v>
          </cell>
          <cell r="I264">
            <v>0</v>
          </cell>
          <cell r="K264">
            <v>0</v>
          </cell>
        </row>
        <row r="265">
          <cell r="A265" t="str">
            <v>쿠팡</v>
          </cell>
          <cell r="C265" t="str">
            <v>4월</v>
          </cell>
          <cell r="E265" t="str">
            <v>제품</v>
          </cell>
          <cell r="G265">
            <v>1</v>
          </cell>
          <cell r="H265">
            <v>550000</v>
          </cell>
          <cell r="I265">
            <v>0</v>
          </cell>
          <cell r="K265">
            <v>0</v>
          </cell>
        </row>
        <row r="266">
          <cell r="A266" t="str">
            <v>쿠팡</v>
          </cell>
          <cell r="C266" t="str">
            <v>4월</v>
          </cell>
          <cell r="E266" t="str">
            <v>제품</v>
          </cell>
          <cell r="G266">
            <v>1</v>
          </cell>
          <cell r="H266">
            <v>550000</v>
          </cell>
          <cell r="I266">
            <v>0</v>
          </cell>
          <cell r="K266">
            <v>0</v>
          </cell>
        </row>
        <row r="267">
          <cell r="A267" t="str">
            <v>쿠팡</v>
          </cell>
          <cell r="C267" t="str">
            <v>4월</v>
          </cell>
          <cell r="E267" t="str">
            <v>제품</v>
          </cell>
          <cell r="G267">
            <v>1</v>
          </cell>
          <cell r="H267">
            <v>550000</v>
          </cell>
          <cell r="I267">
            <v>0</v>
          </cell>
          <cell r="K267">
            <v>0</v>
          </cell>
        </row>
        <row r="268">
          <cell r="A268" t="str">
            <v>쿠팡</v>
          </cell>
          <cell r="C268" t="str">
            <v>4월</v>
          </cell>
          <cell r="E268" t="str">
            <v>제품</v>
          </cell>
          <cell r="G268">
            <v>1</v>
          </cell>
          <cell r="H268">
            <v>550000</v>
          </cell>
          <cell r="I268">
            <v>0</v>
          </cell>
          <cell r="K268">
            <v>0</v>
          </cell>
        </row>
        <row r="269">
          <cell r="A269" t="str">
            <v>쿠팡</v>
          </cell>
          <cell r="C269" t="str">
            <v>4월</v>
          </cell>
          <cell r="E269" t="str">
            <v>사이즈미정</v>
          </cell>
          <cell r="G269">
            <v>1</v>
          </cell>
          <cell r="H269">
            <v>550000</v>
          </cell>
          <cell r="I269">
            <v>0</v>
          </cell>
          <cell r="K269">
            <v>0</v>
          </cell>
        </row>
        <row r="270">
          <cell r="A270" t="str">
            <v>쿠팡</v>
          </cell>
          <cell r="C270" t="str">
            <v>4월</v>
          </cell>
          <cell r="E270" t="str">
            <v>사이즈미정</v>
          </cell>
          <cell r="G270">
            <v>-1</v>
          </cell>
          <cell r="H270">
            <v>-550000</v>
          </cell>
          <cell r="I270">
            <v>0</v>
          </cell>
          <cell r="K270">
            <v>0</v>
          </cell>
        </row>
        <row r="271">
          <cell r="A271" t="str">
            <v>쿠팡</v>
          </cell>
          <cell r="C271" t="str">
            <v>4월</v>
          </cell>
          <cell r="E271" t="str">
            <v>배송비</v>
          </cell>
          <cell r="G271">
            <v>1</v>
          </cell>
          <cell r="H271">
            <v>9000</v>
          </cell>
          <cell r="I271">
            <v>0</v>
          </cell>
          <cell r="K271">
            <v>0</v>
          </cell>
        </row>
        <row r="272">
          <cell r="A272" t="str">
            <v>쿠팡</v>
          </cell>
          <cell r="C272" t="str">
            <v>4월</v>
          </cell>
          <cell r="E272" t="str">
            <v>제품</v>
          </cell>
          <cell r="G272">
            <v>1</v>
          </cell>
          <cell r="H272">
            <v>0</v>
          </cell>
          <cell r="I272">
            <v>550000</v>
          </cell>
          <cell r="K272">
            <v>0</v>
          </cell>
        </row>
        <row r="273">
          <cell r="A273" t="str">
            <v>쿠팡</v>
          </cell>
          <cell r="C273" t="str">
            <v>4월</v>
          </cell>
          <cell r="E273" t="str">
            <v>제품</v>
          </cell>
          <cell r="G273">
            <v>1</v>
          </cell>
          <cell r="H273">
            <v>550000</v>
          </cell>
          <cell r="I273">
            <v>0</v>
          </cell>
          <cell r="K273">
            <v>0</v>
          </cell>
        </row>
        <row r="274">
          <cell r="A274" t="str">
            <v>쿠팡</v>
          </cell>
          <cell r="C274" t="str">
            <v>4월</v>
          </cell>
          <cell r="E274" t="str">
            <v>제품</v>
          </cell>
          <cell r="G274">
            <v>1</v>
          </cell>
          <cell r="H274">
            <v>550000</v>
          </cell>
          <cell r="I274">
            <v>0</v>
          </cell>
          <cell r="K274">
            <v>0</v>
          </cell>
        </row>
        <row r="275">
          <cell r="A275" t="str">
            <v>쿠팡</v>
          </cell>
          <cell r="C275" t="str">
            <v>4월</v>
          </cell>
          <cell r="E275" t="str">
            <v>제품</v>
          </cell>
          <cell r="G275">
            <v>1</v>
          </cell>
          <cell r="H275">
            <v>0</v>
          </cell>
          <cell r="I275">
            <v>550000</v>
          </cell>
          <cell r="K275">
            <v>0</v>
          </cell>
        </row>
        <row r="276">
          <cell r="A276" t="str">
            <v>쿠팡</v>
          </cell>
          <cell r="C276" t="str">
            <v>4월</v>
          </cell>
          <cell r="E276" t="str">
            <v>제품</v>
          </cell>
          <cell r="G276">
            <v>1</v>
          </cell>
          <cell r="H276">
            <v>550000</v>
          </cell>
          <cell r="I276">
            <v>0</v>
          </cell>
          <cell r="K276">
            <v>0</v>
          </cell>
        </row>
        <row r="277">
          <cell r="A277" t="str">
            <v>쿠팡</v>
          </cell>
          <cell r="C277" t="str">
            <v>4월</v>
          </cell>
          <cell r="E277" t="str">
            <v>제품</v>
          </cell>
          <cell r="G277">
            <v>1</v>
          </cell>
          <cell r="H277">
            <v>550000</v>
          </cell>
          <cell r="I277">
            <v>0</v>
          </cell>
          <cell r="K277">
            <v>0</v>
          </cell>
        </row>
        <row r="278">
          <cell r="A278" t="str">
            <v>쿠팡</v>
          </cell>
          <cell r="C278" t="str">
            <v>4월</v>
          </cell>
          <cell r="E278" t="str">
            <v>제품</v>
          </cell>
          <cell r="G278">
            <v>1</v>
          </cell>
          <cell r="H278">
            <v>550000</v>
          </cell>
          <cell r="I278">
            <v>0</v>
          </cell>
          <cell r="K278">
            <v>0</v>
          </cell>
        </row>
        <row r="279">
          <cell r="A279" t="str">
            <v>쿠팡</v>
          </cell>
          <cell r="C279" t="str">
            <v>4월</v>
          </cell>
          <cell r="E279" t="str">
            <v>제품</v>
          </cell>
          <cell r="G279">
            <v>1</v>
          </cell>
          <cell r="H279">
            <v>0</v>
          </cell>
          <cell r="I279">
            <v>550000</v>
          </cell>
          <cell r="K279">
            <v>0</v>
          </cell>
        </row>
        <row r="280">
          <cell r="A280" t="str">
            <v>쿠팡</v>
          </cell>
          <cell r="C280" t="str">
            <v>4월</v>
          </cell>
          <cell r="E280" t="str">
            <v>제품</v>
          </cell>
          <cell r="G280">
            <v>1</v>
          </cell>
          <cell r="H280">
            <v>550000</v>
          </cell>
          <cell r="I280">
            <v>0</v>
          </cell>
          <cell r="K280">
            <v>0</v>
          </cell>
        </row>
        <row r="281">
          <cell r="A281" t="str">
            <v>쿠팡</v>
          </cell>
          <cell r="C281" t="str">
            <v>4월</v>
          </cell>
          <cell r="E281" t="str">
            <v>제품</v>
          </cell>
          <cell r="G281">
            <v>1</v>
          </cell>
          <cell r="H281">
            <v>517614</v>
          </cell>
          <cell r="I281">
            <v>0</v>
          </cell>
          <cell r="K281">
            <v>32386</v>
          </cell>
        </row>
        <row r="282">
          <cell r="A282" t="str">
            <v>쿠팡</v>
          </cell>
          <cell r="C282" t="str">
            <v>4월</v>
          </cell>
          <cell r="E282" t="str">
            <v>사이즈미정</v>
          </cell>
          <cell r="G282">
            <v>1</v>
          </cell>
          <cell r="H282">
            <v>550000</v>
          </cell>
          <cell r="I282">
            <v>0</v>
          </cell>
          <cell r="K282">
            <v>0</v>
          </cell>
        </row>
        <row r="283">
          <cell r="A283" t="str">
            <v>쿠팡</v>
          </cell>
          <cell r="C283" t="str">
            <v>4월</v>
          </cell>
          <cell r="E283" t="str">
            <v>제품</v>
          </cell>
          <cell r="G283">
            <v>1</v>
          </cell>
          <cell r="H283">
            <v>550000</v>
          </cell>
          <cell r="I283">
            <v>0</v>
          </cell>
          <cell r="K283">
            <v>0</v>
          </cell>
        </row>
        <row r="284">
          <cell r="A284" t="str">
            <v>쿠팡</v>
          </cell>
          <cell r="C284" t="str">
            <v>4월</v>
          </cell>
          <cell r="E284" t="str">
            <v>제품</v>
          </cell>
          <cell r="G284">
            <v>1</v>
          </cell>
          <cell r="H284">
            <v>550000</v>
          </cell>
          <cell r="I284">
            <v>0</v>
          </cell>
          <cell r="K284">
            <v>0</v>
          </cell>
        </row>
        <row r="285">
          <cell r="A285" t="str">
            <v>쿠팡</v>
          </cell>
          <cell r="C285" t="str">
            <v>4월</v>
          </cell>
          <cell r="E285" t="str">
            <v>사이즈미정</v>
          </cell>
          <cell r="G285">
            <v>-1</v>
          </cell>
          <cell r="H285">
            <v>-550000</v>
          </cell>
        </row>
        <row r="286">
          <cell r="A286" t="str">
            <v>쿠팡</v>
          </cell>
          <cell r="C286" t="str">
            <v>4월</v>
          </cell>
          <cell r="E286" t="str">
            <v>제품확정</v>
          </cell>
          <cell r="G286">
            <v>1</v>
          </cell>
        </row>
        <row r="287">
          <cell r="A287" t="str">
            <v>현대백화점</v>
          </cell>
          <cell r="C287" t="str">
            <v>4월</v>
          </cell>
          <cell r="E287" t="str">
            <v>제품</v>
          </cell>
          <cell r="G287">
            <v>1</v>
          </cell>
          <cell r="H287">
            <v>550000</v>
          </cell>
        </row>
        <row r="288">
          <cell r="A288" t="str">
            <v>현대백화점</v>
          </cell>
          <cell r="C288" t="str">
            <v>4월</v>
          </cell>
          <cell r="E288" t="str">
            <v>부가제품</v>
          </cell>
          <cell r="G288">
            <v>1</v>
          </cell>
          <cell r="H288">
            <v>74000</v>
          </cell>
        </row>
        <row r="289">
          <cell r="A289" t="str">
            <v>현대백화점</v>
          </cell>
          <cell r="C289" t="str">
            <v>4월</v>
          </cell>
          <cell r="E289" t="str">
            <v>제품</v>
          </cell>
          <cell r="G289">
            <v>1</v>
          </cell>
          <cell r="H289">
            <v>550000</v>
          </cell>
        </row>
        <row r="290">
          <cell r="A290" t="str">
            <v>현대백화점</v>
          </cell>
          <cell r="C290" t="str">
            <v>4월</v>
          </cell>
          <cell r="E290" t="str">
            <v>제품</v>
          </cell>
          <cell r="G290">
            <v>1</v>
          </cell>
          <cell r="H290">
            <v>550000</v>
          </cell>
        </row>
        <row r="291">
          <cell r="A291" t="str">
            <v>현대백화점</v>
          </cell>
          <cell r="C291" t="str">
            <v>4월</v>
          </cell>
          <cell r="E291" t="str">
            <v>제품</v>
          </cell>
          <cell r="G291">
            <v>1</v>
          </cell>
          <cell r="H291">
            <v>550000</v>
          </cell>
        </row>
        <row r="292">
          <cell r="A292" t="str">
            <v>현대백화점</v>
          </cell>
          <cell r="C292" t="str">
            <v>4월</v>
          </cell>
          <cell r="E292" t="str">
            <v>제품</v>
          </cell>
          <cell r="G292">
            <v>1</v>
          </cell>
          <cell r="H292">
            <v>550000</v>
          </cell>
        </row>
        <row r="293">
          <cell r="A293" t="str">
            <v>현대백화점</v>
          </cell>
          <cell r="C293" t="str">
            <v>4월</v>
          </cell>
          <cell r="E293" t="str">
            <v>제품</v>
          </cell>
          <cell r="G293">
            <v>1</v>
          </cell>
          <cell r="H293">
            <v>550000</v>
          </cell>
        </row>
        <row r="294">
          <cell r="A294" t="str">
            <v>현대백화점</v>
          </cell>
          <cell r="C294" t="str">
            <v>4월</v>
          </cell>
          <cell r="E294" t="str">
            <v>제품</v>
          </cell>
          <cell r="G294">
            <v>1</v>
          </cell>
          <cell r="H294">
            <v>550000</v>
          </cell>
        </row>
        <row r="295">
          <cell r="A295" t="str">
            <v>현대백화점</v>
          </cell>
          <cell r="C295" t="str">
            <v>4월</v>
          </cell>
          <cell r="E295" t="str">
            <v>제품</v>
          </cell>
          <cell r="G295">
            <v>1</v>
          </cell>
          <cell r="H295">
            <v>550000</v>
          </cell>
        </row>
        <row r="296">
          <cell r="A296" t="str">
            <v>현대백화점</v>
          </cell>
          <cell r="C296" t="str">
            <v>4월</v>
          </cell>
          <cell r="E296" t="str">
            <v>제품</v>
          </cell>
          <cell r="G296">
            <v>1</v>
          </cell>
          <cell r="H296">
            <v>550000</v>
          </cell>
        </row>
        <row r="297">
          <cell r="A297" t="str">
            <v>현대백화점</v>
          </cell>
          <cell r="C297" t="str">
            <v>4월</v>
          </cell>
          <cell r="E297" t="str">
            <v>제품</v>
          </cell>
          <cell r="G297">
            <v>1</v>
          </cell>
          <cell r="H297">
            <v>550000</v>
          </cell>
        </row>
        <row r="298">
          <cell r="A298" t="str">
            <v>현대백화점</v>
          </cell>
          <cell r="C298" t="str">
            <v>4월</v>
          </cell>
          <cell r="E298" t="str">
            <v>제품</v>
          </cell>
          <cell r="G298">
            <v>1</v>
          </cell>
          <cell r="H298">
            <v>550000</v>
          </cell>
        </row>
        <row r="299">
          <cell r="A299" t="str">
            <v>현대백화점</v>
          </cell>
          <cell r="C299" t="str">
            <v>4월</v>
          </cell>
          <cell r="E299" t="str">
            <v>부가제품</v>
          </cell>
          <cell r="G299">
            <v>1</v>
          </cell>
          <cell r="H299">
            <v>74000</v>
          </cell>
        </row>
        <row r="300">
          <cell r="A300" t="str">
            <v>현대백화점</v>
          </cell>
          <cell r="C300" t="str">
            <v>4월</v>
          </cell>
          <cell r="E300" t="str">
            <v>제품</v>
          </cell>
          <cell r="G300">
            <v>1</v>
          </cell>
          <cell r="H300">
            <v>550000</v>
          </cell>
        </row>
        <row r="301">
          <cell r="A301" t="str">
            <v>현대백화점</v>
          </cell>
          <cell r="C301" t="str">
            <v>4월</v>
          </cell>
          <cell r="E301" t="str">
            <v>부가제품</v>
          </cell>
          <cell r="G301">
            <v>1</v>
          </cell>
          <cell r="H301">
            <v>74000</v>
          </cell>
        </row>
        <row r="302">
          <cell r="A302" t="str">
            <v>현대백화점</v>
          </cell>
          <cell r="C302" t="str">
            <v>4월</v>
          </cell>
          <cell r="E302" t="str">
            <v>제품</v>
          </cell>
          <cell r="G302">
            <v>1</v>
          </cell>
          <cell r="H302">
            <v>550000</v>
          </cell>
        </row>
        <row r="303">
          <cell r="A303" t="str">
            <v>현대백화점</v>
          </cell>
          <cell r="C303" t="str">
            <v>4월</v>
          </cell>
          <cell r="E303" t="str">
            <v>제품</v>
          </cell>
          <cell r="G303">
            <v>1</v>
          </cell>
          <cell r="H303">
            <v>550000</v>
          </cell>
        </row>
        <row r="304">
          <cell r="A304" t="str">
            <v>현대백화점</v>
          </cell>
          <cell r="C304" t="str">
            <v>4월</v>
          </cell>
          <cell r="E304" t="str">
            <v>제품</v>
          </cell>
          <cell r="G304">
            <v>1</v>
          </cell>
          <cell r="H304">
            <v>550000</v>
          </cell>
        </row>
        <row r="305">
          <cell r="A305" t="str">
            <v>현대백화점</v>
          </cell>
          <cell r="C305" t="str">
            <v>4월</v>
          </cell>
          <cell r="E305" t="str">
            <v>제품</v>
          </cell>
          <cell r="G305">
            <v>1</v>
          </cell>
          <cell r="H305">
            <v>550000</v>
          </cell>
        </row>
        <row r="306">
          <cell r="A306" t="str">
            <v>현대백화점</v>
          </cell>
          <cell r="C306" t="str">
            <v>4월</v>
          </cell>
          <cell r="E306" t="str">
            <v>제품</v>
          </cell>
          <cell r="G306">
            <v>1</v>
          </cell>
          <cell r="H306">
            <v>550000</v>
          </cell>
        </row>
        <row r="307">
          <cell r="A307" t="str">
            <v>현대백화점</v>
          </cell>
          <cell r="C307" t="str">
            <v>4월</v>
          </cell>
          <cell r="E307" t="str">
            <v>제품</v>
          </cell>
          <cell r="G307">
            <v>1</v>
          </cell>
          <cell r="H307">
            <v>550000</v>
          </cell>
        </row>
        <row r="308">
          <cell r="A308" t="str">
            <v>SSG</v>
          </cell>
          <cell r="C308" t="str">
            <v>5월</v>
          </cell>
          <cell r="E308" t="str">
            <v>제품</v>
          </cell>
          <cell r="G308">
            <v>1</v>
          </cell>
          <cell r="K308">
            <v>550000</v>
          </cell>
        </row>
        <row r="309">
          <cell r="A309" t="str">
            <v>SSG</v>
          </cell>
          <cell r="C309" t="str">
            <v>5월</v>
          </cell>
          <cell r="E309" t="str">
            <v>제품</v>
          </cell>
          <cell r="G309">
            <v>1</v>
          </cell>
          <cell r="K309">
            <v>550000</v>
          </cell>
        </row>
        <row r="310">
          <cell r="A310" t="str">
            <v>SSG</v>
          </cell>
          <cell r="C310" t="str">
            <v>5월</v>
          </cell>
          <cell r="E310" t="str">
            <v>제품</v>
          </cell>
          <cell r="G310">
            <v>1</v>
          </cell>
          <cell r="K310">
            <v>550000</v>
          </cell>
        </row>
        <row r="311">
          <cell r="A311" t="str">
            <v>SSG</v>
          </cell>
          <cell r="C311" t="str">
            <v>5월</v>
          </cell>
          <cell r="E311" t="str">
            <v>제품</v>
          </cell>
          <cell r="G311">
            <v>1</v>
          </cell>
          <cell r="K311">
            <v>550000</v>
          </cell>
        </row>
        <row r="312">
          <cell r="A312" t="str">
            <v>SSG</v>
          </cell>
          <cell r="C312" t="str">
            <v>5월</v>
          </cell>
          <cell r="E312" t="str">
            <v>제품</v>
          </cell>
          <cell r="G312">
            <v>1</v>
          </cell>
          <cell r="K312">
            <v>550000</v>
          </cell>
        </row>
        <row r="313">
          <cell r="A313" t="str">
            <v>SSG</v>
          </cell>
          <cell r="C313" t="str">
            <v>5월</v>
          </cell>
          <cell r="E313" t="str">
            <v>제품</v>
          </cell>
          <cell r="G313">
            <v>1</v>
          </cell>
          <cell r="K313">
            <v>550000</v>
          </cell>
        </row>
        <row r="314">
          <cell r="A314" t="str">
            <v>네이버</v>
          </cell>
          <cell r="C314" t="str">
            <v>5월</v>
          </cell>
          <cell r="E314" t="str">
            <v>제품</v>
          </cell>
          <cell r="G314">
            <v>1</v>
          </cell>
          <cell r="H314">
            <v>0</v>
          </cell>
          <cell r="I314">
            <v>541845</v>
          </cell>
          <cell r="K314">
            <v>8155</v>
          </cell>
        </row>
        <row r="315">
          <cell r="A315" t="str">
            <v>네이버</v>
          </cell>
          <cell r="C315" t="str">
            <v>5월</v>
          </cell>
          <cell r="E315" t="str">
            <v>제품</v>
          </cell>
          <cell r="G315">
            <v>1</v>
          </cell>
          <cell r="H315">
            <v>533500</v>
          </cell>
          <cell r="I315">
            <v>0</v>
          </cell>
          <cell r="K315">
            <v>16500</v>
          </cell>
        </row>
        <row r="316">
          <cell r="A316" t="str">
            <v>네이버</v>
          </cell>
          <cell r="C316" t="str">
            <v>5월</v>
          </cell>
          <cell r="E316" t="str">
            <v>제품</v>
          </cell>
          <cell r="G316">
            <v>1</v>
          </cell>
          <cell r="H316">
            <v>550000</v>
          </cell>
          <cell r="I316">
            <v>0</v>
          </cell>
          <cell r="K316">
            <v>0</v>
          </cell>
        </row>
        <row r="317">
          <cell r="A317" t="str">
            <v>네이버</v>
          </cell>
          <cell r="C317" t="str">
            <v>5월</v>
          </cell>
          <cell r="E317" t="str">
            <v>부가제품</v>
          </cell>
          <cell r="G317">
            <v>1</v>
          </cell>
          <cell r="H317">
            <v>74000</v>
          </cell>
        </row>
        <row r="318">
          <cell r="A318" t="str">
            <v>네이버</v>
          </cell>
          <cell r="C318" t="str">
            <v>5월</v>
          </cell>
          <cell r="E318" t="str">
            <v>제품</v>
          </cell>
          <cell r="G318">
            <v>1</v>
          </cell>
          <cell r="H318">
            <v>0</v>
          </cell>
          <cell r="I318">
            <v>547766</v>
          </cell>
          <cell r="K318">
            <v>2234</v>
          </cell>
        </row>
        <row r="319">
          <cell r="A319" t="str">
            <v>네이버</v>
          </cell>
          <cell r="C319" t="str">
            <v>5월</v>
          </cell>
          <cell r="E319" t="str">
            <v>제품</v>
          </cell>
          <cell r="G319">
            <v>1</v>
          </cell>
          <cell r="H319">
            <v>550000</v>
          </cell>
          <cell r="I319">
            <v>0</v>
          </cell>
          <cell r="K319">
            <v>0</v>
          </cell>
        </row>
        <row r="320">
          <cell r="A320" t="str">
            <v>네이버</v>
          </cell>
          <cell r="C320" t="str">
            <v>5월</v>
          </cell>
          <cell r="E320" t="str">
            <v>부가제품</v>
          </cell>
          <cell r="G320">
            <v>1</v>
          </cell>
          <cell r="H320">
            <v>74000</v>
          </cell>
        </row>
        <row r="321">
          <cell r="A321" t="str">
            <v>네이버</v>
          </cell>
          <cell r="C321" t="str">
            <v>5월</v>
          </cell>
          <cell r="E321" t="str">
            <v>제품</v>
          </cell>
          <cell r="G321">
            <v>1</v>
          </cell>
          <cell r="H321">
            <v>548594</v>
          </cell>
          <cell r="I321">
            <v>0</v>
          </cell>
          <cell r="K321">
            <v>1406</v>
          </cell>
        </row>
        <row r="322">
          <cell r="A322" t="str">
            <v>네이버</v>
          </cell>
          <cell r="C322" t="str">
            <v>5월</v>
          </cell>
          <cell r="E322" t="str">
            <v>부가제품</v>
          </cell>
          <cell r="G322">
            <v>1</v>
          </cell>
          <cell r="H322">
            <v>74000</v>
          </cell>
        </row>
        <row r="323">
          <cell r="A323" t="str">
            <v>네이버</v>
          </cell>
          <cell r="C323" t="str">
            <v>5월</v>
          </cell>
          <cell r="E323" t="str">
            <v>제품</v>
          </cell>
          <cell r="G323">
            <v>1</v>
          </cell>
          <cell r="H323">
            <v>550000</v>
          </cell>
          <cell r="I323">
            <v>0</v>
          </cell>
          <cell r="K323">
            <v>0</v>
          </cell>
        </row>
        <row r="324">
          <cell r="A324" t="str">
            <v>네이버</v>
          </cell>
          <cell r="C324" t="str">
            <v>5월</v>
          </cell>
          <cell r="E324" t="str">
            <v>제품</v>
          </cell>
          <cell r="G324">
            <v>1</v>
          </cell>
          <cell r="H324">
            <v>0</v>
          </cell>
          <cell r="I324">
            <v>550000</v>
          </cell>
          <cell r="K324">
            <v>0</v>
          </cell>
        </row>
        <row r="325">
          <cell r="A325" t="str">
            <v>네이버</v>
          </cell>
          <cell r="C325" t="str">
            <v>5월</v>
          </cell>
          <cell r="E325" t="str">
            <v>제품</v>
          </cell>
          <cell r="G325">
            <v>1</v>
          </cell>
          <cell r="H325">
            <v>550000</v>
          </cell>
          <cell r="I325">
            <v>0</v>
          </cell>
          <cell r="K325">
            <v>0</v>
          </cell>
        </row>
        <row r="326">
          <cell r="A326" t="str">
            <v>네이버</v>
          </cell>
          <cell r="C326" t="str">
            <v>5월</v>
          </cell>
          <cell r="E326" t="str">
            <v>제품</v>
          </cell>
          <cell r="G326">
            <v>1</v>
          </cell>
          <cell r="H326">
            <v>549446</v>
          </cell>
          <cell r="I326">
            <v>0</v>
          </cell>
          <cell r="K326">
            <v>554</v>
          </cell>
        </row>
        <row r="327">
          <cell r="A327" t="str">
            <v>네이버</v>
          </cell>
          <cell r="C327" t="str">
            <v>5월</v>
          </cell>
          <cell r="E327" t="str">
            <v>제품</v>
          </cell>
          <cell r="G327">
            <v>1</v>
          </cell>
          <cell r="H327">
            <v>550000</v>
          </cell>
          <cell r="I327">
            <v>0</v>
          </cell>
          <cell r="K327">
            <v>0</v>
          </cell>
        </row>
        <row r="328">
          <cell r="A328" t="str">
            <v>네이버</v>
          </cell>
          <cell r="C328" t="str">
            <v>5월</v>
          </cell>
          <cell r="E328" t="str">
            <v>제품</v>
          </cell>
          <cell r="G328">
            <v>1</v>
          </cell>
          <cell r="H328">
            <v>550000</v>
          </cell>
          <cell r="I328">
            <v>0</v>
          </cell>
          <cell r="K328">
            <v>0</v>
          </cell>
        </row>
        <row r="329">
          <cell r="A329" t="str">
            <v>네이버</v>
          </cell>
          <cell r="C329" t="str">
            <v>5월</v>
          </cell>
          <cell r="E329" t="str">
            <v>제품</v>
          </cell>
          <cell r="G329">
            <v>1</v>
          </cell>
          <cell r="H329">
            <v>543000</v>
          </cell>
          <cell r="I329">
            <v>0</v>
          </cell>
          <cell r="K329">
            <v>7000</v>
          </cell>
        </row>
        <row r="330">
          <cell r="A330" t="str">
            <v>네이버</v>
          </cell>
          <cell r="C330" t="str">
            <v>5월</v>
          </cell>
          <cell r="E330" t="str">
            <v>제품</v>
          </cell>
          <cell r="G330">
            <v>1</v>
          </cell>
          <cell r="H330">
            <v>550000</v>
          </cell>
          <cell r="I330">
            <v>0</v>
          </cell>
          <cell r="K330">
            <v>0</v>
          </cell>
        </row>
        <row r="331">
          <cell r="A331" t="str">
            <v>네이버</v>
          </cell>
          <cell r="C331" t="str">
            <v>5월</v>
          </cell>
          <cell r="E331" t="str">
            <v>제품</v>
          </cell>
          <cell r="G331">
            <v>1</v>
          </cell>
          <cell r="H331">
            <v>545908</v>
          </cell>
          <cell r="I331">
            <v>0</v>
          </cell>
          <cell r="K331">
            <v>4092</v>
          </cell>
        </row>
        <row r="332">
          <cell r="A332" t="str">
            <v>네이버</v>
          </cell>
          <cell r="C332" t="str">
            <v>5월</v>
          </cell>
          <cell r="E332" t="str">
            <v>제품</v>
          </cell>
          <cell r="G332">
            <v>1</v>
          </cell>
          <cell r="H332">
            <v>527000</v>
          </cell>
          <cell r="I332">
            <v>0</v>
          </cell>
          <cell r="K332">
            <v>23000</v>
          </cell>
        </row>
        <row r="333">
          <cell r="A333" t="str">
            <v>네이버</v>
          </cell>
          <cell r="C333" t="str">
            <v>5월</v>
          </cell>
          <cell r="E333" t="str">
            <v>제품</v>
          </cell>
          <cell r="G333">
            <v>1</v>
          </cell>
          <cell r="H333">
            <v>0</v>
          </cell>
          <cell r="I333">
            <v>549328</v>
          </cell>
          <cell r="K333">
            <v>672</v>
          </cell>
        </row>
        <row r="334">
          <cell r="A334" t="str">
            <v>네이버</v>
          </cell>
          <cell r="C334" t="str">
            <v>5월</v>
          </cell>
          <cell r="E334" t="str">
            <v>배송비</v>
          </cell>
          <cell r="G334">
            <v>1</v>
          </cell>
          <cell r="H334">
            <v>9000</v>
          </cell>
          <cell r="I334">
            <v>0</v>
          </cell>
          <cell r="K334">
            <v>0</v>
          </cell>
        </row>
        <row r="335">
          <cell r="A335" t="str">
            <v>네이버</v>
          </cell>
          <cell r="C335" t="str">
            <v>5월</v>
          </cell>
          <cell r="E335" t="str">
            <v>제품</v>
          </cell>
          <cell r="G335">
            <v>1</v>
          </cell>
          <cell r="H335">
            <v>522216</v>
          </cell>
          <cell r="I335">
            <v>0</v>
          </cell>
          <cell r="K335">
            <v>27784</v>
          </cell>
        </row>
        <row r="336">
          <cell r="A336" t="str">
            <v>네이버</v>
          </cell>
          <cell r="C336" t="str">
            <v>5월</v>
          </cell>
          <cell r="E336" t="str">
            <v>제품</v>
          </cell>
          <cell r="G336">
            <v>1</v>
          </cell>
          <cell r="H336">
            <v>550000</v>
          </cell>
          <cell r="I336">
            <v>0</v>
          </cell>
          <cell r="K336">
            <v>0</v>
          </cell>
        </row>
        <row r="337">
          <cell r="A337" t="str">
            <v>네이버</v>
          </cell>
          <cell r="C337" t="str">
            <v>5월</v>
          </cell>
          <cell r="E337" t="str">
            <v>제품</v>
          </cell>
          <cell r="G337">
            <v>1</v>
          </cell>
          <cell r="H337">
            <v>0</v>
          </cell>
          <cell r="I337">
            <v>550000</v>
          </cell>
          <cell r="K337">
            <v>0</v>
          </cell>
        </row>
        <row r="338">
          <cell r="A338" t="str">
            <v>네이버</v>
          </cell>
          <cell r="C338" t="str">
            <v>5월</v>
          </cell>
          <cell r="E338" t="str">
            <v>제품</v>
          </cell>
          <cell r="G338">
            <v>1</v>
          </cell>
          <cell r="H338">
            <v>550000</v>
          </cell>
          <cell r="I338">
            <v>0</v>
          </cell>
          <cell r="K338">
            <v>0</v>
          </cell>
        </row>
        <row r="339">
          <cell r="A339" t="str">
            <v>네이버</v>
          </cell>
          <cell r="C339" t="str">
            <v>5월</v>
          </cell>
          <cell r="E339" t="str">
            <v>제품</v>
          </cell>
          <cell r="G339">
            <v>1</v>
          </cell>
          <cell r="H339">
            <v>550000</v>
          </cell>
          <cell r="I339">
            <v>0</v>
          </cell>
          <cell r="K339">
            <v>0</v>
          </cell>
        </row>
        <row r="340">
          <cell r="A340" t="str">
            <v>네이버</v>
          </cell>
          <cell r="C340" t="str">
            <v>5월</v>
          </cell>
          <cell r="E340" t="str">
            <v>제품</v>
          </cell>
          <cell r="G340">
            <v>1</v>
          </cell>
          <cell r="H340">
            <v>550000</v>
          </cell>
          <cell r="I340">
            <v>0</v>
          </cell>
          <cell r="K340">
            <v>0</v>
          </cell>
        </row>
        <row r="341">
          <cell r="A341" t="str">
            <v>네이버</v>
          </cell>
          <cell r="C341" t="str">
            <v>5월</v>
          </cell>
          <cell r="E341" t="str">
            <v>제품</v>
          </cell>
          <cell r="G341">
            <v>1</v>
          </cell>
          <cell r="H341">
            <v>0</v>
          </cell>
          <cell r="I341">
            <v>550000</v>
          </cell>
          <cell r="K341">
            <v>0</v>
          </cell>
        </row>
        <row r="342">
          <cell r="A342" t="str">
            <v>카페24</v>
          </cell>
          <cell r="C342" t="str">
            <v>5월</v>
          </cell>
          <cell r="E342" t="str">
            <v>제품</v>
          </cell>
          <cell r="G342">
            <v>1</v>
          </cell>
          <cell r="H342">
            <v>550000</v>
          </cell>
        </row>
        <row r="343">
          <cell r="A343" t="str">
            <v>카페24</v>
          </cell>
          <cell r="C343" t="str">
            <v>5월</v>
          </cell>
          <cell r="E343" t="str">
            <v>사이즈미정</v>
          </cell>
          <cell r="G343">
            <v>1</v>
          </cell>
          <cell r="H343">
            <v>550000</v>
          </cell>
        </row>
        <row r="344">
          <cell r="A344" t="str">
            <v>카페24</v>
          </cell>
          <cell r="C344" t="str">
            <v>5월</v>
          </cell>
          <cell r="E344" t="str">
            <v>제품</v>
          </cell>
          <cell r="G344">
            <v>1</v>
          </cell>
          <cell r="H344">
            <v>550000</v>
          </cell>
        </row>
        <row r="345">
          <cell r="A345" t="str">
            <v>카페24</v>
          </cell>
          <cell r="C345" t="str">
            <v>5월</v>
          </cell>
          <cell r="E345" t="str">
            <v>제품</v>
          </cell>
          <cell r="G345">
            <v>1</v>
          </cell>
          <cell r="H345">
            <v>550000</v>
          </cell>
        </row>
        <row r="346">
          <cell r="A346" t="str">
            <v>쿠팡</v>
          </cell>
          <cell r="C346" t="str">
            <v>5월</v>
          </cell>
          <cell r="E346" t="str">
            <v>제품</v>
          </cell>
          <cell r="G346">
            <v>1</v>
          </cell>
          <cell r="H346">
            <v>550000</v>
          </cell>
          <cell r="I346">
            <v>0</v>
          </cell>
        </row>
        <row r="347">
          <cell r="A347" t="str">
            <v>쿠팡</v>
          </cell>
          <cell r="C347" t="str">
            <v>5월</v>
          </cell>
          <cell r="E347" t="str">
            <v>제품</v>
          </cell>
          <cell r="G347">
            <v>1</v>
          </cell>
          <cell r="H347">
            <v>550000</v>
          </cell>
          <cell r="I347">
            <v>0</v>
          </cell>
        </row>
        <row r="348">
          <cell r="A348" t="str">
            <v>쿠팡</v>
          </cell>
          <cell r="C348" t="str">
            <v>5월</v>
          </cell>
          <cell r="E348" t="str">
            <v>제품</v>
          </cell>
          <cell r="G348">
            <v>1</v>
          </cell>
          <cell r="H348">
            <v>550000</v>
          </cell>
          <cell r="I348">
            <v>0</v>
          </cell>
        </row>
        <row r="349">
          <cell r="A349" t="str">
            <v>쿠팡</v>
          </cell>
          <cell r="C349" t="str">
            <v>5월</v>
          </cell>
          <cell r="E349" t="str">
            <v>제품</v>
          </cell>
          <cell r="G349">
            <v>1</v>
          </cell>
          <cell r="H349">
            <v>550000</v>
          </cell>
          <cell r="I349">
            <v>0</v>
          </cell>
        </row>
        <row r="350">
          <cell r="A350" t="str">
            <v>쿠팡</v>
          </cell>
          <cell r="C350" t="str">
            <v>5월</v>
          </cell>
          <cell r="E350" t="str">
            <v>제품</v>
          </cell>
          <cell r="G350">
            <v>1</v>
          </cell>
          <cell r="H350">
            <v>550000</v>
          </cell>
          <cell r="I350">
            <v>0</v>
          </cell>
        </row>
        <row r="351">
          <cell r="A351" t="str">
            <v>쿠팡</v>
          </cell>
          <cell r="C351" t="str">
            <v>5월</v>
          </cell>
          <cell r="E351" t="str">
            <v>부가제품</v>
          </cell>
          <cell r="G351">
            <v>1</v>
          </cell>
          <cell r="H351">
            <v>74000</v>
          </cell>
        </row>
        <row r="352">
          <cell r="A352" t="str">
            <v>쿠팡</v>
          </cell>
          <cell r="C352" t="str">
            <v>5월</v>
          </cell>
          <cell r="E352" t="str">
            <v>제품</v>
          </cell>
          <cell r="G352">
            <v>1</v>
          </cell>
          <cell r="H352">
            <v>550000</v>
          </cell>
        </row>
        <row r="353">
          <cell r="A353" t="str">
            <v>쿠팡</v>
          </cell>
          <cell r="C353" t="str">
            <v>5월</v>
          </cell>
          <cell r="E353" t="str">
            <v>배송비</v>
          </cell>
          <cell r="G353">
            <v>1</v>
          </cell>
          <cell r="H353">
            <v>9000</v>
          </cell>
          <cell r="I353">
            <v>0</v>
          </cell>
        </row>
        <row r="354">
          <cell r="A354" t="str">
            <v>쿠팡</v>
          </cell>
          <cell r="C354" t="str">
            <v>5월</v>
          </cell>
          <cell r="E354" t="str">
            <v>제품</v>
          </cell>
          <cell r="G354">
            <v>1</v>
          </cell>
          <cell r="H354">
            <v>0</v>
          </cell>
          <cell r="I354">
            <v>550000</v>
          </cell>
        </row>
        <row r="355">
          <cell r="A355" t="str">
            <v>쿠팡</v>
          </cell>
          <cell r="C355" t="str">
            <v>5월</v>
          </cell>
          <cell r="E355" t="str">
            <v>제품</v>
          </cell>
          <cell r="G355">
            <v>1</v>
          </cell>
          <cell r="H355">
            <v>550000</v>
          </cell>
          <cell r="I355">
            <v>0</v>
          </cell>
        </row>
        <row r="356">
          <cell r="A356" t="str">
            <v>쿠팡</v>
          </cell>
          <cell r="C356" t="str">
            <v>5월</v>
          </cell>
          <cell r="E356" t="str">
            <v>제품</v>
          </cell>
          <cell r="G356">
            <v>1</v>
          </cell>
          <cell r="H356">
            <v>550000</v>
          </cell>
          <cell r="I356">
            <v>0</v>
          </cell>
        </row>
        <row r="357">
          <cell r="A357" t="str">
            <v>쿠팡</v>
          </cell>
          <cell r="C357" t="str">
            <v>5월</v>
          </cell>
          <cell r="E357" t="str">
            <v>제품</v>
          </cell>
          <cell r="G357">
            <v>1</v>
          </cell>
          <cell r="H357">
            <v>550000</v>
          </cell>
          <cell r="I357">
            <v>0</v>
          </cell>
        </row>
        <row r="358">
          <cell r="A358" t="str">
            <v>쿠팡</v>
          </cell>
          <cell r="C358" t="str">
            <v>5월</v>
          </cell>
          <cell r="E358" t="str">
            <v>제품</v>
          </cell>
          <cell r="G358">
            <v>1</v>
          </cell>
          <cell r="H358">
            <v>550000</v>
          </cell>
          <cell r="I358">
            <v>0</v>
          </cell>
        </row>
        <row r="359">
          <cell r="A359" t="str">
            <v>쿠팡</v>
          </cell>
          <cell r="C359" t="str">
            <v>5월</v>
          </cell>
          <cell r="E359" t="str">
            <v>제품</v>
          </cell>
          <cell r="G359">
            <v>1</v>
          </cell>
          <cell r="H359">
            <v>550000</v>
          </cell>
          <cell r="I359">
            <v>0</v>
          </cell>
        </row>
        <row r="360">
          <cell r="A360" t="str">
            <v>쿠팡</v>
          </cell>
          <cell r="C360" t="str">
            <v>5월</v>
          </cell>
          <cell r="E360" t="str">
            <v>제품</v>
          </cell>
          <cell r="G360">
            <v>1</v>
          </cell>
          <cell r="H360">
            <v>522000</v>
          </cell>
          <cell r="I360">
            <v>0</v>
          </cell>
          <cell r="K360">
            <v>28000</v>
          </cell>
        </row>
        <row r="361">
          <cell r="A361" t="str">
            <v>쿠팡</v>
          </cell>
          <cell r="C361" t="str">
            <v>5월</v>
          </cell>
          <cell r="E361" t="str">
            <v>제품</v>
          </cell>
          <cell r="G361">
            <v>1</v>
          </cell>
          <cell r="H361">
            <v>550000</v>
          </cell>
          <cell r="I361">
            <v>0</v>
          </cell>
        </row>
        <row r="362">
          <cell r="A362" t="str">
            <v>현대홈쇼핑</v>
          </cell>
          <cell r="C362" t="str">
            <v>5월</v>
          </cell>
          <cell r="E362" t="str">
            <v>제품</v>
          </cell>
          <cell r="G362">
            <v>1</v>
          </cell>
          <cell r="J362">
            <v>550000</v>
          </cell>
        </row>
        <row r="363">
          <cell r="A363" t="str">
            <v>현대홈쇼핑</v>
          </cell>
          <cell r="C363" t="str">
            <v>5월</v>
          </cell>
          <cell r="E363" t="str">
            <v>부가제품</v>
          </cell>
          <cell r="G363">
            <v>1</v>
          </cell>
          <cell r="J363">
            <v>74000</v>
          </cell>
        </row>
        <row r="364">
          <cell r="A364" t="str">
            <v>현대홈쇼핑</v>
          </cell>
          <cell r="C364" t="str">
            <v>5월</v>
          </cell>
          <cell r="E364" t="str">
            <v>제품</v>
          </cell>
          <cell r="G364">
            <v>1</v>
          </cell>
          <cell r="J364">
            <v>550000</v>
          </cell>
        </row>
        <row r="365">
          <cell r="A365" t="str">
            <v>현대홈쇼핑</v>
          </cell>
          <cell r="C365" t="str">
            <v>5월</v>
          </cell>
          <cell r="E365" t="str">
            <v>부가제품</v>
          </cell>
          <cell r="G365">
            <v>1</v>
          </cell>
          <cell r="J365">
            <v>74000</v>
          </cell>
        </row>
        <row r="366">
          <cell r="A366" t="str">
            <v>현대홈쇼핑</v>
          </cell>
          <cell r="C366" t="str">
            <v>5월</v>
          </cell>
          <cell r="E366" t="str">
            <v>제품</v>
          </cell>
          <cell r="G366">
            <v>1</v>
          </cell>
          <cell r="J366">
            <v>550000</v>
          </cell>
        </row>
        <row r="367">
          <cell r="A367" t="str">
            <v>현대홈쇼핑</v>
          </cell>
          <cell r="C367" t="str">
            <v>5월</v>
          </cell>
          <cell r="E367" t="str">
            <v>부가제품</v>
          </cell>
          <cell r="G367">
            <v>1</v>
          </cell>
          <cell r="J367">
            <v>74000</v>
          </cell>
        </row>
        <row r="368">
          <cell r="A368" t="str">
            <v>현대홈쇼핑</v>
          </cell>
          <cell r="C368" t="str">
            <v>5월</v>
          </cell>
          <cell r="E368" t="str">
            <v>제품</v>
          </cell>
          <cell r="G368">
            <v>1</v>
          </cell>
          <cell r="J368">
            <v>550000</v>
          </cell>
        </row>
        <row r="369">
          <cell r="A369" t="str">
            <v>현대홈쇼핑</v>
          </cell>
          <cell r="C369" t="str">
            <v>5월</v>
          </cell>
          <cell r="E369" t="str">
            <v>제품</v>
          </cell>
          <cell r="G369">
            <v>1</v>
          </cell>
          <cell r="J369">
            <v>550000</v>
          </cell>
        </row>
        <row r="370">
          <cell r="A370" t="str">
            <v>현대홈쇼핑</v>
          </cell>
          <cell r="C370" t="str">
            <v>5월</v>
          </cell>
          <cell r="E370" t="str">
            <v>제품</v>
          </cell>
          <cell r="G370">
            <v>1</v>
          </cell>
          <cell r="J370">
            <v>550000</v>
          </cell>
        </row>
        <row r="371">
          <cell r="A371" t="str">
            <v>현대홈쇼핑</v>
          </cell>
          <cell r="C371" t="str">
            <v>5월</v>
          </cell>
          <cell r="E371" t="str">
            <v>사이즈미정</v>
          </cell>
          <cell r="G371">
            <v>1</v>
          </cell>
          <cell r="J371">
            <v>550000</v>
          </cell>
        </row>
        <row r="372">
          <cell r="A372" t="str">
            <v>현대홈쇼핑</v>
          </cell>
          <cell r="C372" t="str">
            <v>5월</v>
          </cell>
          <cell r="E372" t="str">
            <v>제품</v>
          </cell>
          <cell r="G372">
            <v>1</v>
          </cell>
          <cell r="J372">
            <v>550000</v>
          </cell>
        </row>
        <row r="373">
          <cell r="A373" t="str">
            <v>현대홈쇼핑</v>
          </cell>
          <cell r="C373" t="str">
            <v>5월</v>
          </cell>
          <cell r="E373" t="str">
            <v>제품</v>
          </cell>
          <cell r="G373">
            <v>1</v>
          </cell>
          <cell r="J373">
            <v>550000</v>
          </cell>
        </row>
        <row r="374">
          <cell r="A374" t="str">
            <v>현대홈쇼핑</v>
          </cell>
          <cell r="C374" t="str">
            <v>5월</v>
          </cell>
          <cell r="E374" t="str">
            <v>제품</v>
          </cell>
          <cell r="G374">
            <v>1</v>
          </cell>
          <cell r="J374">
            <v>550000</v>
          </cell>
        </row>
        <row r="375">
          <cell r="A375" t="str">
            <v>현대홈쇼핑</v>
          </cell>
          <cell r="C375" t="str">
            <v>5월</v>
          </cell>
          <cell r="E375" t="str">
            <v>제품</v>
          </cell>
          <cell r="G375">
            <v>1</v>
          </cell>
          <cell r="J375">
            <v>550000</v>
          </cell>
        </row>
        <row r="376">
          <cell r="A376" t="str">
            <v>현대홈쇼핑</v>
          </cell>
          <cell r="C376" t="str">
            <v>5월</v>
          </cell>
          <cell r="E376" t="str">
            <v>부가제품</v>
          </cell>
          <cell r="G376">
            <v>1</v>
          </cell>
          <cell r="J376">
            <v>74000</v>
          </cell>
        </row>
        <row r="377">
          <cell r="A377" t="str">
            <v>현대홈쇼핑</v>
          </cell>
          <cell r="C377" t="str">
            <v>5월</v>
          </cell>
          <cell r="E377" t="str">
            <v>제품</v>
          </cell>
          <cell r="G377">
            <v>1</v>
          </cell>
          <cell r="J377">
            <v>550000</v>
          </cell>
        </row>
        <row r="378">
          <cell r="A378" t="str">
            <v>현대홈쇼핑</v>
          </cell>
          <cell r="C378" t="str">
            <v>5월</v>
          </cell>
          <cell r="E378" t="str">
            <v>제품</v>
          </cell>
          <cell r="G378">
            <v>1</v>
          </cell>
          <cell r="J378">
            <v>550000</v>
          </cell>
        </row>
        <row r="379">
          <cell r="A379" t="str">
            <v>현대홈쇼핑</v>
          </cell>
          <cell r="C379" t="str">
            <v>5월</v>
          </cell>
          <cell r="E379" t="str">
            <v>제품</v>
          </cell>
          <cell r="G379">
            <v>1</v>
          </cell>
          <cell r="J379">
            <v>550000</v>
          </cell>
        </row>
        <row r="380">
          <cell r="A380" t="str">
            <v>현대홈쇼핑</v>
          </cell>
          <cell r="C380" t="str">
            <v>5월</v>
          </cell>
          <cell r="E380" t="str">
            <v>제품</v>
          </cell>
          <cell r="G380">
            <v>1</v>
          </cell>
          <cell r="J380">
            <v>550000</v>
          </cell>
        </row>
        <row r="381">
          <cell r="A381" t="str">
            <v>현대홈쇼핑</v>
          </cell>
          <cell r="C381" t="str">
            <v>5월</v>
          </cell>
          <cell r="E381" t="str">
            <v>제품</v>
          </cell>
          <cell r="G381">
            <v>1</v>
          </cell>
          <cell r="J381">
            <v>550000</v>
          </cell>
        </row>
        <row r="382">
          <cell r="A382" t="str">
            <v>현대홈쇼핑</v>
          </cell>
          <cell r="C382" t="str">
            <v>5월</v>
          </cell>
          <cell r="E382" t="str">
            <v>제품</v>
          </cell>
          <cell r="G382">
            <v>1</v>
          </cell>
          <cell r="J382">
            <v>550000</v>
          </cell>
        </row>
        <row r="383">
          <cell r="A383" t="str">
            <v>현대홈쇼핑</v>
          </cell>
          <cell r="C383" t="str">
            <v>5월</v>
          </cell>
          <cell r="E383" t="str">
            <v>제품</v>
          </cell>
          <cell r="G383">
            <v>1</v>
          </cell>
          <cell r="J383">
            <v>550000</v>
          </cell>
        </row>
        <row r="384">
          <cell r="A384" t="str">
            <v>현대홈쇼핑</v>
          </cell>
          <cell r="C384" t="str">
            <v>5월</v>
          </cell>
          <cell r="E384" t="str">
            <v>사이즈미정</v>
          </cell>
          <cell r="G384">
            <v>1</v>
          </cell>
          <cell r="J384">
            <v>550000</v>
          </cell>
        </row>
        <row r="385">
          <cell r="A385" t="str">
            <v>현대홈쇼핑</v>
          </cell>
          <cell r="C385" t="str">
            <v>5월</v>
          </cell>
          <cell r="E385" t="str">
            <v>제품</v>
          </cell>
          <cell r="G385">
            <v>1</v>
          </cell>
          <cell r="J385">
            <v>550000</v>
          </cell>
        </row>
        <row r="386">
          <cell r="A386" t="str">
            <v>현대홈쇼핑</v>
          </cell>
          <cell r="C386" t="str">
            <v>5월</v>
          </cell>
          <cell r="E386" t="str">
            <v>제품</v>
          </cell>
          <cell r="G386">
            <v>1</v>
          </cell>
          <cell r="J386">
            <v>550000</v>
          </cell>
        </row>
        <row r="387">
          <cell r="A387" t="str">
            <v>현대홈쇼핑</v>
          </cell>
          <cell r="C387" t="str">
            <v>5월</v>
          </cell>
          <cell r="E387" t="str">
            <v>사이즈미정</v>
          </cell>
          <cell r="G387">
            <v>1</v>
          </cell>
          <cell r="J387">
            <v>550000</v>
          </cell>
        </row>
        <row r="388">
          <cell r="A388" t="str">
            <v>현대홈쇼핑</v>
          </cell>
          <cell r="C388" t="str">
            <v>5월</v>
          </cell>
          <cell r="E388" t="str">
            <v>제품</v>
          </cell>
          <cell r="G388">
            <v>1</v>
          </cell>
          <cell r="J388">
            <v>550000</v>
          </cell>
        </row>
        <row r="389">
          <cell r="A389" t="str">
            <v>현대홈쇼핑</v>
          </cell>
          <cell r="C389" t="str">
            <v>5월</v>
          </cell>
          <cell r="E389" t="str">
            <v>부가제품</v>
          </cell>
          <cell r="G389">
            <v>1</v>
          </cell>
          <cell r="J389">
            <v>74000</v>
          </cell>
        </row>
        <row r="390">
          <cell r="A390" t="str">
            <v>현대홈쇼핑</v>
          </cell>
          <cell r="C390" t="str">
            <v>5월</v>
          </cell>
          <cell r="E390" t="str">
            <v>제품</v>
          </cell>
          <cell r="G390">
            <v>1</v>
          </cell>
          <cell r="J390">
            <v>550000</v>
          </cell>
        </row>
        <row r="391">
          <cell r="A391" t="str">
            <v>현대홈쇼핑</v>
          </cell>
          <cell r="C391" t="str">
            <v>5월</v>
          </cell>
          <cell r="E391" t="str">
            <v>제품</v>
          </cell>
          <cell r="G391">
            <v>1</v>
          </cell>
          <cell r="J391">
            <v>550000</v>
          </cell>
        </row>
        <row r="392">
          <cell r="A392" t="str">
            <v>현대홈쇼핑</v>
          </cell>
          <cell r="C392" t="str">
            <v>5월</v>
          </cell>
          <cell r="E392" t="str">
            <v>제품</v>
          </cell>
          <cell r="G392">
            <v>1</v>
          </cell>
          <cell r="J392">
            <v>550000</v>
          </cell>
        </row>
        <row r="393">
          <cell r="A393" t="str">
            <v>현대홈쇼핑</v>
          </cell>
          <cell r="C393" t="str">
            <v>5월</v>
          </cell>
          <cell r="E393" t="str">
            <v>제품</v>
          </cell>
          <cell r="G393">
            <v>1</v>
          </cell>
          <cell r="J393">
            <v>550000</v>
          </cell>
        </row>
        <row r="394">
          <cell r="A394" t="str">
            <v>현대홈쇼핑</v>
          </cell>
          <cell r="C394" t="str">
            <v>5월</v>
          </cell>
          <cell r="E394" t="str">
            <v>제품</v>
          </cell>
          <cell r="G394">
            <v>1</v>
          </cell>
          <cell r="J394">
            <v>550000</v>
          </cell>
        </row>
        <row r="395">
          <cell r="A395" t="str">
            <v>현대홈쇼핑</v>
          </cell>
          <cell r="C395" t="str">
            <v>5월</v>
          </cell>
          <cell r="E395" t="str">
            <v>부가제품</v>
          </cell>
          <cell r="G395">
            <v>1</v>
          </cell>
          <cell r="J395">
            <v>74000</v>
          </cell>
        </row>
        <row r="396">
          <cell r="A396" t="str">
            <v>현대홈쇼핑</v>
          </cell>
          <cell r="C396" t="str">
            <v>5월</v>
          </cell>
          <cell r="E396" t="str">
            <v>제품</v>
          </cell>
          <cell r="G396">
            <v>1</v>
          </cell>
          <cell r="J396">
            <v>550000</v>
          </cell>
        </row>
        <row r="397">
          <cell r="A397" t="str">
            <v>현대홈쇼핑</v>
          </cell>
          <cell r="C397" t="str">
            <v>5월</v>
          </cell>
          <cell r="E397" t="str">
            <v>사이즈미정</v>
          </cell>
          <cell r="G397">
            <v>1</v>
          </cell>
          <cell r="J397">
            <v>550000</v>
          </cell>
        </row>
        <row r="398">
          <cell r="A398" t="str">
            <v>현대홈쇼핑</v>
          </cell>
          <cell r="C398" t="str">
            <v>5월</v>
          </cell>
          <cell r="E398" t="str">
            <v>제품</v>
          </cell>
          <cell r="G398">
            <v>1</v>
          </cell>
          <cell r="J398">
            <v>550000</v>
          </cell>
        </row>
        <row r="399">
          <cell r="A399" t="str">
            <v>현대홈쇼핑</v>
          </cell>
          <cell r="C399" t="str">
            <v>5월</v>
          </cell>
          <cell r="E399" t="str">
            <v>제품</v>
          </cell>
          <cell r="G399">
            <v>1</v>
          </cell>
          <cell r="J399">
            <v>550000</v>
          </cell>
        </row>
        <row r="400">
          <cell r="A400" t="str">
            <v>현대홈쇼핑</v>
          </cell>
          <cell r="C400" t="str">
            <v>5월</v>
          </cell>
          <cell r="E400" t="str">
            <v>사이즈미정</v>
          </cell>
          <cell r="G400">
            <v>1</v>
          </cell>
          <cell r="J400">
            <v>550000</v>
          </cell>
        </row>
        <row r="401">
          <cell r="A401" t="str">
            <v>현대홈쇼핑</v>
          </cell>
          <cell r="C401" t="str">
            <v>5월</v>
          </cell>
          <cell r="E401" t="str">
            <v>사이즈미정</v>
          </cell>
          <cell r="G401">
            <v>1</v>
          </cell>
          <cell r="J401">
            <v>550000</v>
          </cell>
        </row>
        <row r="402">
          <cell r="A402" t="str">
            <v>현대홈쇼핑</v>
          </cell>
          <cell r="C402" t="str">
            <v>5월</v>
          </cell>
          <cell r="E402" t="str">
            <v>제품</v>
          </cell>
          <cell r="G402">
            <v>1</v>
          </cell>
          <cell r="J402">
            <v>550000</v>
          </cell>
        </row>
        <row r="403">
          <cell r="A403" t="str">
            <v>현대홈쇼핑</v>
          </cell>
          <cell r="C403" t="str">
            <v>5월</v>
          </cell>
          <cell r="E403" t="str">
            <v>제품</v>
          </cell>
          <cell r="G403">
            <v>1</v>
          </cell>
          <cell r="J403">
            <v>550000</v>
          </cell>
        </row>
        <row r="404">
          <cell r="A404" t="str">
            <v>현대홈쇼핑</v>
          </cell>
          <cell r="C404" t="str">
            <v>5월</v>
          </cell>
          <cell r="E404" t="str">
            <v>제품</v>
          </cell>
          <cell r="G404">
            <v>1</v>
          </cell>
          <cell r="J404">
            <v>550000</v>
          </cell>
        </row>
        <row r="405">
          <cell r="A405" t="str">
            <v>현대홈쇼핑</v>
          </cell>
          <cell r="C405" t="str">
            <v>5월</v>
          </cell>
          <cell r="E405" t="str">
            <v>제품</v>
          </cell>
          <cell r="G405">
            <v>1</v>
          </cell>
          <cell r="J405">
            <v>550000</v>
          </cell>
        </row>
        <row r="406">
          <cell r="A406" t="str">
            <v>현대홈쇼핑</v>
          </cell>
          <cell r="C406" t="str">
            <v>5월</v>
          </cell>
          <cell r="E406" t="str">
            <v>제품</v>
          </cell>
          <cell r="G406">
            <v>1</v>
          </cell>
          <cell r="J406">
            <v>550000</v>
          </cell>
        </row>
        <row r="407">
          <cell r="A407" t="str">
            <v>현대홈쇼핑</v>
          </cell>
          <cell r="C407" t="str">
            <v>5월</v>
          </cell>
          <cell r="E407" t="str">
            <v>제품</v>
          </cell>
          <cell r="G407">
            <v>1</v>
          </cell>
          <cell r="J407">
            <v>550000</v>
          </cell>
        </row>
        <row r="408">
          <cell r="A408" t="str">
            <v>현대홈쇼핑</v>
          </cell>
          <cell r="C408" t="str">
            <v>5월</v>
          </cell>
          <cell r="E408" t="str">
            <v>제품</v>
          </cell>
          <cell r="G408">
            <v>1</v>
          </cell>
          <cell r="J408">
            <v>550000</v>
          </cell>
        </row>
        <row r="409">
          <cell r="A409" t="str">
            <v>현대홈쇼핑</v>
          </cell>
          <cell r="C409" t="str">
            <v>5월</v>
          </cell>
          <cell r="E409" t="str">
            <v>제품</v>
          </cell>
          <cell r="G409">
            <v>1</v>
          </cell>
          <cell r="J409">
            <v>550000</v>
          </cell>
        </row>
        <row r="410">
          <cell r="A410" t="str">
            <v>현대홈쇼핑</v>
          </cell>
          <cell r="C410" t="str">
            <v>5월</v>
          </cell>
          <cell r="E410" t="str">
            <v>사이즈미정</v>
          </cell>
          <cell r="G410">
            <v>1</v>
          </cell>
          <cell r="J410">
            <v>550000</v>
          </cell>
        </row>
        <row r="411">
          <cell r="A411" t="str">
            <v>현대홈쇼핑</v>
          </cell>
          <cell r="C411" t="str">
            <v>5월</v>
          </cell>
          <cell r="E411" t="str">
            <v>제품</v>
          </cell>
          <cell r="G411">
            <v>1</v>
          </cell>
          <cell r="J411">
            <v>550000</v>
          </cell>
        </row>
        <row r="412">
          <cell r="A412" t="str">
            <v>현대홈쇼핑</v>
          </cell>
          <cell r="C412" t="str">
            <v>5월</v>
          </cell>
          <cell r="E412" t="str">
            <v>부가제품</v>
          </cell>
          <cell r="G412">
            <v>1</v>
          </cell>
          <cell r="J412">
            <v>74000</v>
          </cell>
        </row>
        <row r="413">
          <cell r="A413" t="str">
            <v>현대홈쇼핑</v>
          </cell>
          <cell r="C413" t="str">
            <v>5월</v>
          </cell>
          <cell r="E413" t="str">
            <v>제품</v>
          </cell>
          <cell r="G413">
            <v>1</v>
          </cell>
          <cell r="J413">
            <v>550000</v>
          </cell>
        </row>
        <row r="414">
          <cell r="A414" t="str">
            <v>현대홈쇼핑</v>
          </cell>
          <cell r="C414" t="str">
            <v>5월</v>
          </cell>
          <cell r="E414" t="str">
            <v>제품</v>
          </cell>
          <cell r="G414">
            <v>1</v>
          </cell>
          <cell r="J414">
            <v>550000</v>
          </cell>
        </row>
        <row r="415">
          <cell r="A415" t="str">
            <v>현대홈쇼핑</v>
          </cell>
          <cell r="C415" t="str">
            <v>5월</v>
          </cell>
          <cell r="E415" t="str">
            <v>제품</v>
          </cell>
          <cell r="G415">
            <v>1</v>
          </cell>
          <cell r="J415">
            <v>550000</v>
          </cell>
        </row>
        <row r="416">
          <cell r="A416" t="str">
            <v>현대홈쇼핑</v>
          </cell>
          <cell r="C416" t="str">
            <v>5월</v>
          </cell>
          <cell r="E416" t="str">
            <v>제품</v>
          </cell>
          <cell r="G416">
            <v>1</v>
          </cell>
          <cell r="J416">
            <v>550000</v>
          </cell>
        </row>
        <row r="417">
          <cell r="A417" t="str">
            <v>현대홈쇼핑</v>
          </cell>
          <cell r="C417" t="str">
            <v>5월</v>
          </cell>
          <cell r="E417" t="str">
            <v>제품</v>
          </cell>
          <cell r="G417">
            <v>1</v>
          </cell>
          <cell r="J417">
            <v>550000</v>
          </cell>
        </row>
        <row r="418">
          <cell r="A418" t="str">
            <v>현대홈쇼핑</v>
          </cell>
          <cell r="C418" t="str">
            <v>5월</v>
          </cell>
          <cell r="E418" t="str">
            <v>제품</v>
          </cell>
          <cell r="G418">
            <v>1</v>
          </cell>
          <cell r="J418">
            <v>550000</v>
          </cell>
        </row>
        <row r="419">
          <cell r="A419" t="str">
            <v>현대홈쇼핑</v>
          </cell>
          <cell r="C419" t="str">
            <v>5월</v>
          </cell>
          <cell r="E419" t="str">
            <v>제품</v>
          </cell>
          <cell r="G419">
            <v>1</v>
          </cell>
          <cell r="J419">
            <v>550000</v>
          </cell>
        </row>
        <row r="420">
          <cell r="A420" t="str">
            <v>현대홈쇼핑</v>
          </cell>
          <cell r="C420" t="str">
            <v>5월</v>
          </cell>
          <cell r="E420" t="str">
            <v>제품</v>
          </cell>
          <cell r="G420">
            <v>1</v>
          </cell>
          <cell r="J420">
            <v>550000</v>
          </cell>
        </row>
        <row r="421">
          <cell r="A421" t="str">
            <v>현대홈쇼핑</v>
          </cell>
          <cell r="C421" t="str">
            <v>5월</v>
          </cell>
          <cell r="E421" t="str">
            <v>제품</v>
          </cell>
          <cell r="G421">
            <v>1</v>
          </cell>
          <cell r="J421">
            <v>550000</v>
          </cell>
        </row>
        <row r="422">
          <cell r="A422" t="str">
            <v>현대홈쇼핑</v>
          </cell>
          <cell r="C422" t="str">
            <v>5월</v>
          </cell>
          <cell r="E422" t="str">
            <v>제품</v>
          </cell>
          <cell r="G422">
            <v>1</v>
          </cell>
          <cell r="J422">
            <v>550000</v>
          </cell>
        </row>
        <row r="423">
          <cell r="A423" t="str">
            <v>현대홈쇼핑</v>
          </cell>
          <cell r="C423" t="str">
            <v>5월</v>
          </cell>
          <cell r="E423" t="str">
            <v>제품</v>
          </cell>
          <cell r="G423">
            <v>1</v>
          </cell>
          <cell r="J423">
            <v>550000</v>
          </cell>
        </row>
        <row r="424">
          <cell r="A424" t="str">
            <v>현대홈쇼핑</v>
          </cell>
          <cell r="C424" t="str">
            <v>5월</v>
          </cell>
          <cell r="E424" t="str">
            <v>제품</v>
          </cell>
          <cell r="G424">
            <v>1</v>
          </cell>
          <cell r="J424">
            <v>550000</v>
          </cell>
        </row>
        <row r="425">
          <cell r="A425" t="str">
            <v>현대홈쇼핑</v>
          </cell>
          <cell r="C425" t="str">
            <v>5월</v>
          </cell>
          <cell r="E425" t="str">
            <v>제품</v>
          </cell>
          <cell r="G425">
            <v>1</v>
          </cell>
          <cell r="J425">
            <v>550000</v>
          </cell>
        </row>
        <row r="426">
          <cell r="A426" t="str">
            <v>현대홈쇼핑</v>
          </cell>
          <cell r="C426" t="str">
            <v>5월</v>
          </cell>
          <cell r="E426" t="str">
            <v>제품</v>
          </cell>
          <cell r="G426">
            <v>1</v>
          </cell>
          <cell r="J426">
            <v>550000</v>
          </cell>
        </row>
        <row r="427">
          <cell r="A427" t="str">
            <v>현대홈쇼핑</v>
          </cell>
          <cell r="C427" t="str">
            <v>5월</v>
          </cell>
          <cell r="E427" t="str">
            <v>제품</v>
          </cell>
          <cell r="G427">
            <v>1</v>
          </cell>
          <cell r="J427">
            <v>550000</v>
          </cell>
        </row>
        <row r="428">
          <cell r="A428" t="str">
            <v>현대홈쇼핑</v>
          </cell>
          <cell r="C428" t="str">
            <v>5월</v>
          </cell>
          <cell r="E428" t="str">
            <v>제품</v>
          </cell>
          <cell r="G428">
            <v>1</v>
          </cell>
          <cell r="J428">
            <v>550000</v>
          </cell>
        </row>
        <row r="429">
          <cell r="A429" t="str">
            <v>현대홈쇼핑</v>
          </cell>
          <cell r="C429" t="str">
            <v>5월</v>
          </cell>
          <cell r="E429" t="str">
            <v>부가제품</v>
          </cell>
          <cell r="G429">
            <v>1</v>
          </cell>
          <cell r="J429">
            <v>74000</v>
          </cell>
        </row>
        <row r="430">
          <cell r="A430" t="str">
            <v>현대홈쇼핑</v>
          </cell>
          <cell r="C430" t="str">
            <v>5월</v>
          </cell>
          <cell r="E430" t="str">
            <v>제품</v>
          </cell>
          <cell r="G430">
            <v>1</v>
          </cell>
          <cell r="J430">
            <v>550000</v>
          </cell>
        </row>
        <row r="431">
          <cell r="A431" t="str">
            <v>현대홈쇼핑</v>
          </cell>
          <cell r="C431" t="str">
            <v>5월</v>
          </cell>
          <cell r="E431" t="str">
            <v>부가제품</v>
          </cell>
          <cell r="G431">
            <v>1</v>
          </cell>
          <cell r="J431">
            <v>74000</v>
          </cell>
        </row>
        <row r="432">
          <cell r="A432" t="str">
            <v>현대홈쇼핑</v>
          </cell>
          <cell r="C432" t="str">
            <v>5월</v>
          </cell>
          <cell r="E432" t="str">
            <v>사이즈미정</v>
          </cell>
          <cell r="G432">
            <v>1</v>
          </cell>
          <cell r="J432">
            <v>550000</v>
          </cell>
        </row>
        <row r="433">
          <cell r="A433" t="str">
            <v>현대홈쇼핑</v>
          </cell>
          <cell r="C433" t="str">
            <v>5월</v>
          </cell>
          <cell r="E433" t="str">
            <v>제품</v>
          </cell>
          <cell r="G433">
            <v>1</v>
          </cell>
          <cell r="J433">
            <v>550000</v>
          </cell>
        </row>
        <row r="434">
          <cell r="A434" t="str">
            <v>현대홈쇼핑</v>
          </cell>
          <cell r="C434" t="str">
            <v>5월</v>
          </cell>
          <cell r="E434" t="str">
            <v>사이즈미정</v>
          </cell>
          <cell r="G434">
            <v>1</v>
          </cell>
          <cell r="J434">
            <v>550000</v>
          </cell>
        </row>
        <row r="435">
          <cell r="A435" t="str">
            <v>현대홈쇼핑</v>
          </cell>
          <cell r="C435" t="str">
            <v>5월</v>
          </cell>
          <cell r="E435" t="str">
            <v>부가제품</v>
          </cell>
          <cell r="G435">
            <v>1</v>
          </cell>
          <cell r="J435">
            <v>74000</v>
          </cell>
        </row>
        <row r="436">
          <cell r="A436" t="str">
            <v>현대홈쇼핑</v>
          </cell>
          <cell r="C436" t="str">
            <v>5월</v>
          </cell>
          <cell r="E436" t="str">
            <v>사이즈미정</v>
          </cell>
          <cell r="G436">
            <v>1</v>
          </cell>
          <cell r="J436">
            <v>550000</v>
          </cell>
        </row>
        <row r="437">
          <cell r="A437" t="str">
            <v>SSG</v>
          </cell>
          <cell r="C437" t="str">
            <v>6월</v>
          </cell>
          <cell r="E437" t="str">
            <v>제품</v>
          </cell>
          <cell r="G437">
            <v>1</v>
          </cell>
          <cell r="K437">
            <v>550000</v>
          </cell>
        </row>
        <row r="438">
          <cell r="A438" t="str">
            <v>네이버</v>
          </cell>
          <cell r="C438" t="str">
            <v>6월</v>
          </cell>
          <cell r="E438" t="str">
            <v>제품</v>
          </cell>
          <cell r="G438">
            <v>1</v>
          </cell>
          <cell r="H438">
            <v>545000</v>
          </cell>
          <cell r="I438">
            <v>0</v>
          </cell>
          <cell r="K438">
            <v>5000</v>
          </cell>
        </row>
        <row r="439">
          <cell r="A439" t="str">
            <v>네이버</v>
          </cell>
          <cell r="C439" t="str">
            <v>6월</v>
          </cell>
          <cell r="E439" t="str">
            <v>제품</v>
          </cell>
          <cell r="G439">
            <v>1</v>
          </cell>
          <cell r="H439">
            <v>0</v>
          </cell>
          <cell r="I439">
            <v>550000</v>
          </cell>
          <cell r="K439">
            <v>0</v>
          </cell>
        </row>
        <row r="440">
          <cell r="A440" t="str">
            <v>네이버</v>
          </cell>
          <cell r="C440" t="str">
            <v>6월</v>
          </cell>
          <cell r="E440" t="str">
            <v>제품</v>
          </cell>
          <cell r="G440">
            <v>1</v>
          </cell>
          <cell r="H440">
            <v>550000</v>
          </cell>
          <cell r="I440">
            <v>0</v>
          </cell>
          <cell r="K440">
            <v>0</v>
          </cell>
        </row>
        <row r="441">
          <cell r="A441" t="str">
            <v>네이버</v>
          </cell>
          <cell r="C441" t="str">
            <v>6월</v>
          </cell>
          <cell r="E441" t="str">
            <v>제품</v>
          </cell>
          <cell r="G441">
            <v>1</v>
          </cell>
          <cell r="H441">
            <v>0</v>
          </cell>
          <cell r="I441">
            <v>548813</v>
          </cell>
          <cell r="K441">
            <v>1187</v>
          </cell>
        </row>
        <row r="442">
          <cell r="A442" t="str">
            <v>네이버</v>
          </cell>
          <cell r="C442" t="str">
            <v>6월</v>
          </cell>
          <cell r="E442" t="str">
            <v>제품취소</v>
          </cell>
          <cell r="G442">
            <v>-1</v>
          </cell>
          <cell r="H442">
            <v>-533500</v>
          </cell>
          <cell r="I442">
            <v>0</v>
          </cell>
          <cell r="K442">
            <v>-16500</v>
          </cell>
        </row>
        <row r="443">
          <cell r="A443" t="str">
            <v>네이버</v>
          </cell>
          <cell r="C443" t="str">
            <v>6월</v>
          </cell>
          <cell r="E443" t="str">
            <v>제품</v>
          </cell>
          <cell r="G443">
            <v>1</v>
          </cell>
          <cell r="H443">
            <v>550000</v>
          </cell>
          <cell r="I443">
            <v>0</v>
          </cell>
          <cell r="K443">
            <v>0</v>
          </cell>
        </row>
        <row r="444">
          <cell r="A444" t="str">
            <v>네이버</v>
          </cell>
          <cell r="C444" t="str">
            <v>6월</v>
          </cell>
          <cell r="E444" t="str">
            <v>부가제품</v>
          </cell>
          <cell r="G444">
            <v>1</v>
          </cell>
          <cell r="H444">
            <v>74000</v>
          </cell>
        </row>
        <row r="445">
          <cell r="A445" t="str">
            <v>네이버</v>
          </cell>
          <cell r="C445" t="str">
            <v>6월</v>
          </cell>
          <cell r="E445" t="str">
            <v>제품</v>
          </cell>
          <cell r="G445">
            <v>1</v>
          </cell>
          <cell r="H445">
            <v>550000</v>
          </cell>
          <cell r="I445">
            <v>0</v>
          </cell>
          <cell r="K445">
            <v>0</v>
          </cell>
        </row>
        <row r="446">
          <cell r="A446" t="str">
            <v>네이버</v>
          </cell>
          <cell r="C446" t="str">
            <v>6월</v>
          </cell>
          <cell r="E446" t="str">
            <v>제품</v>
          </cell>
          <cell r="G446">
            <v>1</v>
          </cell>
          <cell r="H446">
            <v>549677</v>
          </cell>
          <cell r="I446">
            <v>0</v>
          </cell>
          <cell r="K446">
            <v>323</v>
          </cell>
        </row>
        <row r="447">
          <cell r="A447" t="str">
            <v>네이버</v>
          </cell>
          <cell r="C447" t="str">
            <v>6월</v>
          </cell>
          <cell r="E447" t="str">
            <v>제품</v>
          </cell>
          <cell r="G447">
            <v>1</v>
          </cell>
          <cell r="H447">
            <v>550000</v>
          </cell>
          <cell r="I447">
            <v>0</v>
          </cell>
          <cell r="K447">
            <v>0</v>
          </cell>
        </row>
        <row r="448">
          <cell r="A448" t="str">
            <v>네이버</v>
          </cell>
          <cell r="C448" t="str">
            <v>6월</v>
          </cell>
          <cell r="E448" t="str">
            <v>부가제품</v>
          </cell>
          <cell r="G448">
            <v>1</v>
          </cell>
          <cell r="H448">
            <v>74000</v>
          </cell>
        </row>
        <row r="449">
          <cell r="A449" t="str">
            <v>네이버</v>
          </cell>
          <cell r="C449" t="str">
            <v>6월</v>
          </cell>
          <cell r="E449" t="str">
            <v>사이즈미정</v>
          </cell>
          <cell r="G449">
            <v>1</v>
          </cell>
          <cell r="H449">
            <v>550000</v>
          </cell>
          <cell r="I449">
            <v>0</v>
          </cell>
          <cell r="K449">
            <v>0</v>
          </cell>
        </row>
        <row r="450">
          <cell r="A450" t="str">
            <v>네이버</v>
          </cell>
          <cell r="C450" t="str">
            <v>6월</v>
          </cell>
          <cell r="E450" t="str">
            <v>부가제품</v>
          </cell>
          <cell r="G450">
            <v>1</v>
          </cell>
          <cell r="H450">
            <v>74000</v>
          </cell>
        </row>
        <row r="451">
          <cell r="A451" t="str">
            <v>네이버</v>
          </cell>
          <cell r="C451" t="str">
            <v>6월</v>
          </cell>
          <cell r="E451" t="str">
            <v>사이즈미정</v>
          </cell>
          <cell r="G451">
            <v>-1</v>
          </cell>
          <cell r="H451">
            <v>-550000</v>
          </cell>
          <cell r="I451">
            <v>0</v>
          </cell>
          <cell r="K451">
            <v>0</v>
          </cell>
        </row>
        <row r="452">
          <cell r="A452" t="str">
            <v>네이버</v>
          </cell>
          <cell r="C452" t="str">
            <v>6월</v>
          </cell>
          <cell r="E452" t="str">
            <v>부가제품</v>
          </cell>
          <cell r="G452">
            <v>-1</v>
          </cell>
          <cell r="H452">
            <v>-74000</v>
          </cell>
        </row>
        <row r="453">
          <cell r="A453" t="str">
            <v>네이버</v>
          </cell>
          <cell r="C453" t="str">
            <v>6월</v>
          </cell>
          <cell r="E453" t="str">
            <v>제품</v>
          </cell>
          <cell r="G453">
            <v>1</v>
          </cell>
          <cell r="H453">
            <v>538821</v>
          </cell>
          <cell r="I453">
            <v>0</v>
          </cell>
          <cell r="K453">
            <v>11179</v>
          </cell>
        </row>
        <row r="454">
          <cell r="A454" t="str">
            <v>네이버</v>
          </cell>
          <cell r="C454" t="str">
            <v>6월</v>
          </cell>
          <cell r="E454" t="str">
            <v>부가제품</v>
          </cell>
          <cell r="G454">
            <v>1</v>
          </cell>
          <cell r="H454">
            <v>74000</v>
          </cell>
        </row>
        <row r="455">
          <cell r="A455" t="str">
            <v>네이버</v>
          </cell>
          <cell r="C455" t="str">
            <v>6월</v>
          </cell>
          <cell r="E455" t="str">
            <v>제품</v>
          </cell>
          <cell r="G455">
            <v>1</v>
          </cell>
          <cell r="H455">
            <v>543685</v>
          </cell>
          <cell r="I455">
            <v>0</v>
          </cell>
          <cell r="K455">
            <v>6315</v>
          </cell>
        </row>
        <row r="456">
          <cell r="A456" t="str">
            <v>네이버</v>
          </cell>
          <cell r="C456" t="str">
            <v>6월</v>
          </cell>
          <cell r="E456" t="str">
            <v>사이즈미정</v>
          </cell>
          <cell r="G456">
            <v>-1</v>
          </cell>
          <cell r="H456">
            <v>-543245</v>
          </cell>
          <cell r="I456">
            <v>-6755</v>
          </cell>
          <cell r="K456">
            <v>0</v>
          </cell>
        </row>
        <row r="457">
          <cell r="A457" t="str">
            <v>네이버</v>
          </cell>
          <cell r="C457" t="str">
            <v>6월</v>
          </cell>
          <cell r="E457" t="str">
            <v>제품</v>
          </cell>
          <cell r="G457">
            <v>1</v>
          </cell>
          <cell r="H457">
            <v>550000</v>
          </cell>
          <cell r="I457">
            <v>0</v>
          </cell>
          <cell r="K457">
            <v>0</v>
          </cell>
        </row>
        <row r="458">
          <cell r="A458" t="str">
            <v>네이버</v>
          </cell>
          <cell r="C458" t="str">
            <v>6월</v>
          </cell>
          <cell r="E458" t="str">
            <v>제품</v>
          </cell>
          <cell r="G458">
            <v>1</v>
          </cell>
          <cell r="H458">
            <v>550000</v>
          </cell>
          <cell r="I458">
            <v>0</v>
          </cell>
          <cell r="K458">
            <v>0</v>
          </cell>
        </row>
        <row r="459">
          <cell r="A459" t="str">
            <v>네이버</v>
          </cell>
          <cell r="C459" t="str">
            <v>6월</v>
          </cell>
          <cell r="E459" t="str">
            <v>제품</v>
          </cell>
          <cell r="G459">
            <v>1</v>
          </cell>
          <cell r="H459">
            <v>550000</v>
          </cell>
          <cell r="I459">
            <v>0</v>
          </cell>
          <cell r="K459">
            <v>0</v>
          </cell>
        </row>
        <row r="460">
          <cell r="A460" t="str">
            <v>네이버</v>
          </cell>
          <cell r="C460" t="str">
            <v>6월</v>
          </cell>
          <cell r="E460" t="str">
            <v>제품</v>
          </cell>
          <cell r="G460">
            <v>1</v>
          </cell>
          <cell r="H460">
            <v>536193</v>
          </cell>
          <cell r="I460">
            <v>0</v>
          </cell>
          <cell r="K460">
            <v>13807</v>
          </cell>
        </row>
        <row r="461">
          <cell r="A461" t="str">
            <v>네이버</v>
          </cell>
          <cell r="C461" t="str">
            <v>6월</v>
          </cell>
          <cell r="E461" t="str">
            <v>부가제품</v>
          </cell>
          <cell r="G461">
            <v>1</v>
          </cell>
          <cell r="H461">
            <v>74000</v>
          </cell>
        </row>
        <row r="462">
          <cell r="A462" t="str">
            <v>네이버</v>
          </cell>
          <cell r="C462" t="str">
            <v>6월</v>
          </cell>
          <cell r="E462" t="str">
            <v>제품</v>
          </cell>
          <cell r="G462">
            <v>1</v>
          </cell>
          <cell r="H462">
            <v>550000</v>
          </cell>
          <cell r="I462">
            <v>0</v>
          </cell>
          <cell r="K462">
            <v>0</v>
          </cell>
        </row>
        <row r="463">
          <cell r="A463" t="str">
            <v>네이버</v>
          </cell>
          <cell r="C463" t="str">
            <v>6월</v>
          </cell>
          <cell r="E463" t="str">
            <v>제품</v>
          </cell>
          <cell r="G463">
            <v>1</v>
          </cell>
          <cell r="H463">
            <v>545100</v>
          </cell>
          <cell r="I463">
            <v>0</v>
          </cell>
          <cell r="K463">
            <v>4900</v>
          </cell>
        </row>
        <row r="464">
          <cell r="A464" t="str">
            <v>네이버</v>
          </cell>
          <cell r="C464" t="str">
            <v>6월</v>
          </cell>
          <cell r="E464" t="str">
            <v>제품</v>
          </cell>
          <cell r="G464">
            <v>1</v>
          </cell>
          <cell r="H464">
            <v>504195</v>
          </cell>
          <cell r="I464">
            <v>0</v>
          </cell>
          <cell r="K464">
            <v>45805</v>
          </cell>
        </row>
        <row r="465">
          <cell r="A465" t="str">
            <v>네이버</v>
          </cell>
          <cell r="C465" t="str">
            <v>6월</v>
          </cell>
          <cell r="E465" t="str">
            <v>사이즈미정</v>
          </cell>
          <cell r="G465">
            <v>1</v>
          </cell>
          <cell r="H465">
            <v>550000</v>
          </cell>
          <cell r="I465">
            <v>0</v>
          </cell>
          <cell r="K465">
            <v>0</v>
          </cell>
        </row>
        <row r="466">
          <cell r="A466" t="str">
            <v>네이버</v>
          </cell>
          <cell r="C466" t="str">
            <v>6월</v>
          </cell>
          <cell r="E466" t="str">
            <v>제품</v>
          </cell>
          <cell r="G466">
            <v>1</v>
          </cell>
          <cell r="H466">
            <v>0</v>
          </cell>
          <cell r="I466">
            <v>550000</v>
          </cell>
          <cell r="K466">
            <v>0</v>
          </cell>
        </row>
        <row r="467">
          <cell r="A467" t="str">
            <v>네이버</v>
          </cell>
          <cell r="C467" t="str">
            <v>6월</v>
          </cell>
          <cell r="E467" t="str">
            <v>제품</v>
          </cell>
          <cell r="G467">
            <v>1</v>
          </cell>
          <cell r="H467">
            <v>0</v>
          </cell>
          <cell r="I467">
            <v>550000</v>
          </cell>
          <cell r="K467">
            <v>0</v>
          </cell>
        </row>
        <row r="468">
          <cell r="A468" t="str">
            <v>네이버</v>
          </cell>
          <cell r="C468" t="str">
            <v>6월</v>
          </cell>
          <cell r="E468" t="str">
            <v>부가제품</v>
          </cell>
          <cell r="G468">
            <v>1</v>
          </cell>
          <cell r="I468">
            <v>74000</v>
          </cell>
        </row>
        <row r="469">
          <cell r="A469" t="str">
            <v>네이버</v>
          </cell>
          <cell r="C469" t="str">
            <v>6월</v>
          </cell>
          <cell r="E469" t="str">
            <v>사이즈미정</v>
          </cell>
          <cell r="G469">
            <v>1</v>
          </cell>
          <cell r="H469">
            <v>550000</v>
          </cell>
          <cell r="I469">
            <v>0</v>
          </cell>
          <cell r="K469">
            <v>0</v>
          </cell>
        </row>
        <row r="470">
          <cell r="A470" t="str">
            <v>네이버</v>
          </cell>
          <cell r="C470" t="str">
            <v>6월</v>
          </cell>
          <cell r="E470" t="str">
            <v>제품</v>
          </cell>
          <cell r="G470">
            <v>1</v>
          </cell>
          <cell r="H470">
            <v>546889</v>
          </cell>
          <cell r="I470">
            <v>0</v>
          </cell>
          <cell r="K470">
            <v>3111</v>
          </cell>
        </row>
        <row r="471">
          <cell r="A471" t="str">
            <v>네이버</v>
          </cell>
          <cell r="C471" t="str">
            <v>6월</v>
          </cell>
          <cell r="E471" t="str">
            <v>부가제품</v>
          </cell>
          <cell r="G471">
            <v>1</v>
          </cell>
          <cell r="H471">
            <v>74000</v>
          </cell>
        </row>
        <row r="472">
          <cell r="A472" t="str">
            <v>네이버</v>
          </cell>
          <cell r="C472" t="str">
            <v>6월</v>
          </cell>
          <cell r="E472" t="str">
            <v>제품</v>
          </cell>
          <cell r="G472">
            <v>1</v>
          </cell>
          <cell r="H472">
            <v>550000</v>
          </cell>
          <cell r="I472">
            <v>0</v>
          </cell>
          <cell r="K472">
            <v>0</v>
          </cell>
        </row>
        <row r="473">
          <cell r="A473" t="str">
            <v>네이버</v>
          </cell>
          <cell r="C473" t="str">
            <v>6월</v>
          </cell>
          <cell r="E473" t="str">
            <v>제품</v>
          </cell>
          <cell r="G473">
            <v>1</v>
          </cell>
          <cell r="H473">
            <v>0</v>
          </cell>
          <cell r="I473">
            <v>550000</v>
          </cell>
          <cell r="K473">
            <v>0</v>
          </cell>
        </row>
        <row r="474">
          <cell r="A474" t="str">
            <v>네이버</v>
          </cell>
          <cell r="C474" t="str">
            <v>6월</v>
          </cell>
          <cell r="E474" t="str">
            <v>제품</v>
          </cell>
          <cell r="G474">
            <v>1</v>
          </cell>
          <cell r="H474">
            <v>0</v>
          </cell>
          <cell r="I474">
            <v>528846.15384615399</v>
          </cell>
          <cell r="K474">
            <v>21153.8461538462</v>
          </cell>
        </row>
        <row r="475">
          <cell r="A475" t="str">
            <v>네이버</v>
          </cell>
          <cell r="C475" t="str">
            <v>6월</v>
          </cell>
          <cell r="E475" t="str">
            <v>부가제품</v>
          </cell>
          <cell r="G475">
            <v>1</v>
          </cell>
          <cell r="I475">
            <v>71153.8461538462</v>
          </cell>
          <cell r="K475">
            <v>2846.1538461538498</v>
          </cell>
        </row>
        <row r="476">
          <cell r="A476" t="str">
            <v>네이버</v>
          </cell>
          <cell r="C476" t="str">
            <v>6월</v>
          </cell>
          <cell r="E476" t="str">
            <v>제품</v>
          </cell>
          <cell r="G476">
            <v>1</v>
          </cell>
          <cell r="H476">
            <v>0</v>
          </cell>
          <cell r="I476">
            <v>550000</v>
          </cell>
          <cell r="K476">
            <v>0</v>
          </cell>
        </row>
        <row r="477">
          <cell r="A477" t="str">
            <v>네이버</v>
          </cell>
          <cell r="C477" t="str">
            <v>6월</v>
          </cell>
          <cell r="E477" t="str">
            <v>제품</v>
          </cell>
          <cell r="G477">
            <v>1</v>
          </cell>
          <cell r="H477">
            <v>550000</v>
          </cell>
          <cell r="I477">
            <v>0</v>
          </cell>
          <cell r="K477">
            <v>0</v>
          </cell>
        </row>
        <row r="478">
          <cell r="A478" t="str">
            <v>네이버</v>
          </cell>
          <cell r="C478" t="str">
            <v>6월</v>
          </cell>
          <cell r="E478" t="str">
            <v>제품</v>
          </cell>
          <cell r="G478">
            <v>1</v>
          </cell>
          <cell r="H478">
            <v>550000</v>
          </cell>
          <cell r="I478">
            <v>0</v>
          </cell>
          <cell r="K478">
            <v>0</v>
          </cell>
        </row>
        <row r="479">
          <cell r="A479" t="str">
            <v>네이버</v>
          </cell>
          <cell r="C479" t="str">
            <v>6월</v>
          </cell>
          <cell r="E479" t="str">
            <v>제품</v>
          </cell>
          <cell r="G479">
            <v>1</v>
          </cell>
          <cell r="H479">
            <v>550000</v>
          </cell>
          <cell r="I479">
            <v>0</v>
          </cell>
          <cell r="K479">
            <v>0</v>
          </cell>
        </row>
        <row r="480">
          <cell r="A480" t="str">
            <v>네이버</v>
          </cell>
          <cell r="C480" t="str">
            <v>6월</v>
          </cell>
          <cell r="E480" t="str">
            <v>제품</v>
          </cell>
          <cell r="G480">
            <v>1</v>
          </cell>
          <cell r="H480">
            <v>523995</v>
          </cell>
          <cell r="I480">
            <v>431</v>
          </cell>
          <cell r="K480">
            <v>25574</v>
          </cell>
        </row>
        <row r="481">
          <cell r="A481" t="str">
            <v>네이버</v>
          </cell>
          <cell r="C481" t="str">
            <v>6월</v>
          </cell>
          <cell r="E481" t="str">
            <v>제품</v>
          </cell>
          <cell r="G481">
            <v>1</v>
          </cell>
          <cell r="H481">
            <v>0</v>
          </cell>
          <cell r="I481">
            <v>547622</v>
          </cell>
          <cell r="K481">
            <v>2386</v>
          </cell>
        </row>
        <row r="482">
          <cell r="A482" t="str">
            <v>네이버</v>
          </cell>
          <cell r="C482" t="str">
            <v>6월</v>
          </cell>
          <cell r="E482" t="str">
            <v>제품</v>
          </cell>
          <cell r="G482">
            <v>1</v>
          </cell>
          <cell r="H482">
            <v>533500</v>
          </cell>
          <cell r="I482">
            <v>0</v>
          </cell>
          <cell r="K482">
            <v>16500</v>
          </cell>
        </row>
        <row r="483">
          <cell r="A483" t="str">
            <v>네이버</v>
          </cell>
          <cell r="C483" t="str">
            <v>6월</v>
          </cell>
          <cell r="E483" t="str">
            <v>제품</v>
          </cell>
          <cell r="G483">
            <v>1</v>
          </cell>
          <cell r="H483">
            <v>550000</v>
          </cell>
          <cell r="I483">
            <v>0</v>
          </cell>
          <cell r="K483">
            <v>0</v>
          </cell>
        </row>
        <row r="484">
          <cell r="A484" t="str">
            <v>네이버</v>
          </cell>
          <cell r="C484" t="str">
            <v>6월</v>
          </cell>
          <cell r="E484" t="str">
            <v>제품</v>
          </cell>
          <cell r="G484">
            <v>1</v>
          </cell>
          <cell r="H484">
            <v>550000</v>
          </cell>
          <cell r="I484">
            <v>0</v>
          </cell>
          <cell r="K484">
            <v>0</v>
          </cell>
        </row>
        <row r="485">
          <cell r="A485" t="str">
            <v>네이버</v>
          </cell>
          <cell r="C485" t="str">
            <v>6월</v>
          </cell>
          <cell r="E485" t="str">
            <v>제품</v>
          </cell>
          <cell r="G485">
            <v>1</v>
          </cell>
          <cell r="H485">
            <v>550000</v>
          </cell>
          <cell r="I485">
            <v>0</v>
          </cell>
        </row>
        <row r="486">
          <cell r="A486" t="str">
            <v>네이버</v>
          </cell>
          <cell r="C486" t="str">
            <v>6월</v>
          </cell>
          <cell r="E486" t="str">
            <v>사이즈미정</v>
          </cell>
          <cell r="G486">
            <v>1</v>
          </cell>
          <cell r="H486">
            <v>550000</v>
          </cell>
          <cell r="I486">
            <v>0</v>
          </cell>
          <cell r="K486">
            <v>-97.545454545470406</v>
          </cell>
        </row>
        <row r="487">
          <cell r="A487" t="str">
            <v>네이버</v>
          </cell>
          <cell r="C487" t="str">
            <v>6월</v>
          </cell>
          <cell r="E487" t="str">
            <v>제품확정</v>
          </cell>
          <cell r="G487">
            <v>1</v>
          </cell>
        </row>
        <row r="488">
          <cell r="A488" t="str">
            <v>네이버</v>
          </cell>
          <cell r="C488" t="str">
            <v>6월</v>
          </cell>
          <cell r="E488" t="str">
            <v>제품확정</v>
          </cell>
          <cell r="G488">
            <v>1</v>
          </cell>
        </row>
        <row r="489">
          <cell r="A489" t="str">
            <v>지마켓</v>
          </cell>
          <cell r="C489" t="str">
            <v>6월</v>
          </cell>
          <cell r="E489" t="str">
            <v>제품</v>
          </cell>
          <cell r="G489">
            <v>1</v>
          </cell>
          <cell r="I489">
            <v>540000</v>
          </cell>
        </row>
        <row r="490">
          <cell r="A490" t="str">
            <v>지마켓</v>
          </cell>
          <cell r="C490" t="str">
            <v>6월</v>
          </cell>
          <cell r="E490" t="str">
            <v>제품</v>
          </cell>
          <cell r="G490">
            <v>1</v>
          </cell>
          <cell r="H490">
            <v>540000</v>
          </cell>
        </row>
        <row r="491">
          <cell r="A491" t="str">
            <v>카페24</v>
          </cell>
          <cell r="C491" t="str">
            <v>6월</v>
          </cell>
          <cell r="E491" t="str">
            <v>제품</v>
          </cell>
          <cell r="G491">
            <v>1</v>
          </cell>
          <cell r="H491">
            <v>550000</v>
          </cell>
        </row>
        <row r="492">
          <cell r="A492" t="str">
            <v>카페24</v>
          </cell>
          <cell r="C492" t="str">
            <v>6월</v>
          </cell>
          <cell r="E492" t="str">
            <v>부가제품</v>
          </cell>
          <cell r="G492">
            <v>1</v>
          </cell>
          <cell r="H492">
            <v>74000</v>
          </cell>
        </row>
        <row r="493">
          <cell r="A493" t="str">
            <v>카페24</v>
          </cell>
          <cell r="C493" t="str">
            <v>6월</v>
          </cell>
          <cell r="E493" t="str">
            <v>제품</v>
          </cell>
          <cell r="G493">
            <v>1</v>
          </cell>
          <cell r="H493">
            <v>550000</v>
          </cell>
        </row>
        <row r="494">
          <cell r="A494" t="str">
            <v>카페24</v>
          </cell>
          <cell r="C494" t="str">
            <v>6월</v>
          </cell>
          <cell r="E494" t="str">
            <v>제품</v>
          </cell>
          <cell r="G494">
            <v>1</v>
          </cell>
          <cell r="H494">
            <v>550000</v>
          </cell>
        </row>
        <row r="495">
          <cell r="A495" t="str">
            <v>카페24</v>
          </cell>
          <cell r="C495" t="str">
            <v>6월</v>
          </cell>
          <cell r="E495" t="str">
            <v>부가제품</v>
          </cell>
          <cell r="G495">
            <v>1</v>
          </cell>
          <cell r="H495">
            <v>74000</v>
          </cell>
        </row>
        <row r="496">
          <cell r="A496" t="str">
            <v>카페24</v>
          </cell>
          <cell r="C496" t="str">
            <v>6월</v>
          </cell>
          <cell r="E496" t="str">
            <v>제품</v>
          </cell>
          <cell r="G496">
            <v>1</v>
          </cell>
          <cell r="H496">
            <v>550000</v>
          </cell>
        </row>
        <row r="497">
          <cell r="A497" t="str">
            <v>카페24</v>
          </cell>
          <cell r="C497" t="str">
            <v>6월</v>
          </cell>
          <cell r="E497" t="str">
            <v>제품</v>
          </cell>
          <cell r="G497">
            <v>1</v>
          </cell>
          <cell r="H497">
            <v>550000</v>
          </cell>
        </row>
        <row r="498">
          <cell r="A498" t="str">
            <v>카페24</v>
          </cell>
          <cell r="C498" t="str">
            <v>6월</v>
          </cell>
          <cell r="E498" t="str">
            <v>제품</v>
          </cell>
          <cell r="G498">
            <v>1</v>
          </cell>
          <cell r="H498">
            <v>550000</v>
          </cell>
        </row>
        <row r="499">
          <cell r="A499" t="str">
            <v>카페24</v>
          </cell>
          <cell r="C499" t="str">
            <v>6월</v>
          </cell>
          <cell r="E499" t="str">
            <v>사이즈미정</v>
          </cell>
          <cell r="G499">
            <v>1</v>
          </cell>
          <cell r="H499">
            <v>550000</v>
          </cell>
        </row>
        <row r="500">
          <cell r="A500" t="str">
            <v>카페24</v>
          </cell>
          <cell r="C500" t="str">
            <v>6월</v>
          </cell>
          <cell r="E500" t="str">
            <v>제품</v>
          </cell>
          <cell r="G500">
            <v>1</v>
          </cell>
          <cell r="H500">
            <v>550000</v>
          </cell>
        </row>
        <row r="501">
          <cell r="A501" t="str">
            <v>카페24</v>
          </cell>
          <cell r="C501" t="str">
            <v>6월</v>
          </cell>
          <cell r="E501" t="str">
            <v>사이즈미정</v>
          </cell>
          <cell r="G501">
            <v>1</v>
          </cell>
          <cell r="H501">
            <v>550000</v>
          </cell>
        </row>
        <row r="502">
          <cell r="A502" t="str">
            <v>카페24</v>
          </cell>
          <cell r="C502" t="str">
            <v>6월</v>
          </cell>
          <cell r="E502" t="str">
            <v>제품</v>
          </cell>
          <cell r="G502">
            <v>1</v>
          </cell>
          <cell r="H502">
            <v>550000</v>
          </cell>
        </row>
        <row r="503">
          <cell r="A503" t="str">
            <v>카페24</v>
          </cell>
          <cell r="C503" t="str">
            <v>6월</v>
          </cell>
          <cell r="E503" t="str">
            <v>제품확정</v>
          </cell>
          <cell r="G503">
            <v>1</v>
          </cell>
        </row>
        <row r="504">
          <cell r="A504" t="str">
            <v>쿠팡</v>
          </cell>
          <cell r="C504" t="str">
            <v>6월</v>
          </cell>
          <cell r="E504" t="str">
            <v>제품</v>
          </cell>
          <cell r="G504">
            <v>1</v>
          </cell>
          <cell r="H504">
            <v>550000</v>
          </cell>
          <cell r="I504">
            <v>0</v>
          </cell>
          <cell r="K504">
            <v>0</v>
          </cell>
        </row>
        <row r="505">
          <cell r="A505" t="str">
            <v>쿠팡</v>
          </cell>
          <cell r="C505" t="str">
            <v>6월</v>
          </cell>
          <cell r="E505" t="str">
            <v>제품</v>
          </cell>
          <cell r="G505">
            <v>1</v>
          </cell>
          <cell r="H505">
            <v>550000</v>
          </cell>
          <cell r="I505">
            <v>0</v>
          </cell>
          <cell r="K505">
            <v>0</v>
          </cell>
        </row>
        <row r="506">
          <cell r="A506" t="str">
            <v>쿠팡</v>
          </cell>
          <cell r="C506" t="str">
            <v>6월</v>
          </cell>
          <cell r="E506" t="str">
            <v>제품</v>
          </cell>
          <cell r="G506">
            <v>1</v>
          </cell>
          <cell r="H506">
            <v>543000</v>
          </cell>
          <cell r="I506">
            <v>0</v>
          </cell>
          <cell r="K506">
            <v>7000</v>
          </cell>
        </row>
        <row r="507">
          <cell r="A507" t="str">
            <v>쿠팡</v>
          </cell>
          <cell r="C507" t="str">
            <v>6월</v>
          </cell>
          <cell r="E507" t="str">
            <v>제품</v>
          </cell>
          <cell r="G507">
            <v>1</v>
          </cell>
          <cell r="H507">
            <v>550000</v>
          </cell>
          <cell r="I507">
            <v>0</v>
          </cell>
          <cell r="K507">
            <v>0</v>
          </cell>
        </row>
        <row r="508">
          <cell r="A508" t="str">
            <v>쿠팡</v>
          </cell>
          <cell r="C508" t="str">
            <v>6월</v>
          </cell>
          <cell r="E508" t="str">
            <v>제품</v>
          </cell>
          <cell r="G508">
            <v>1</v>
          </cell>
          <cell r="H508">
            <v>550000</v>
          </cell>
          <cell r="I508">
            <v>0</v>
          </cell>
          <cell r="K508">
            <v>0</v>
          </cell>
        </row>
        <row r="509">
          <cell r="A509" t="str">
            <v>쿠팡</v>
          </cell>
          <cell r="C509" t="str">
            <v>6월</v>
          </cell>
          <cell r="E509" t="str">
            <v>제품</v>
          </cell>
          <cell r="G509">
            <v>1</v>
          </cell>
          <cell r="H509">
            <v>550000</v>
          </cell>
          <cell r="I509">
            <v>0</v>
          </cell>
          <cell r="K509">
            <v>0</v>
          </cell>
        </row>
        <row r="510">
          <cell r="A510" t="str">
            <v>쿠팡</v>
          </cell>
          <cell r="C510" t="str">
            <v>6월</v>
          </cell>
          <cell r="E510" t="str">
            <v>제품</v>
          </cell>
          <cell r="G510">
            <v>1</v>
          </cell>
          <cell r="H510">
            <v>550000</v>
          </cell>
          <cell r="I510">
            <v>0</v>
          </cell>
          <cell r="K510">
            <v>0</v>
          </cell>
        </row>
        <row r="511">
          <cell r="A511" t="str">
            <v>쿠팡</v>
          </cell>
          <cell r="C511" t="str">
            <v>6월</v>
          </cell>
          <cell r="E511" t="str">
            <v>제품</v>
          </cell>
          <cell r="G511">
            <v>1</v>
          </cell>
          <cell r="H511">
            <v>550000</v>
          </cell>
          <cell r="I511">
            <v>0</v>
          </cell>
          <cell r="K511">
            <v>0</v>
          </cell>
        </row>
        <row r="512">
          <cell r="A512" t="str">
            <v>쿠팡</v>
          </cell>
          <cell r="C512" t="str">
            <v>6월</v>
          </cell>
          <cell r="E512" t="str">
            <v>제품</v>
          </cell>
          <cell r="G512">
            <v>1</v>
          </cell>
          <cell r="H512">
            <v>0</v>
          </cell>
          <cell r="I512">
            <v>550000</v>
          </cell>
          <cell r="K512">
            <v>0</v>
          </cell>
        </row>
        <row r="513">
          <cell r="A513" t="str">
            <v>쿠팡</v>
          </cell>
          <cell r="C513" t="str">
            <v>6월</v>
          </cell>
          <cell r="E513" t="str">
            <v>제품</v>
          </cell>
          <cell r="G513">
            <v>1</v>
          </cell>
          <cell r="H513">
            <v>550000</v>
          </cell>
          <cell r="I513">
            <v>0</v>
          </cell>
          <cell r="K513">
            <v>0</v>
          </cell>
        </row>
        <row r="514">
          <cell r="A514" t="str">
            <v>쿠팡</v>
          </cell>
          <cell r="C514" t="str">
            <v>6월</v>
          </cell>
          <cell r="E514" t="str">
            <v>제품</v>
          </cell>
          <cell r="G514">
            <v>1</v>
          </cell>
          <cell r="H514">
            <v>550000</v>
          </cell>
          <cell r="I514">
            <v>0</v>
          </cell>
          <cell r="K514">
            <v>0</v>
          </cell>
        </row>
        <row r="515">
          <cell r="A515" t="str">
            <v>쿠팡</v>
          </cell>
          <cell r="C515" t="str">
            <v>6월</v>
          </cell>
          <cell r="E515" t="str">
            <v>제품</v>
          </cell>
          <cell r="G515">
            <v>1</v>
          </cell>
          <cell r="H515">
            <v>550000</v>
          </cell>
          <cell r="I515">
            <v>0</v>
          </cell>
          <cell r="K515">
            <v>0</v>
          </cell>
        </row>
        <row r="516">
          <cell r="A516" t="str">
            <v>쿠팡</v>
          </cell>
          <cell r="C516" t="str">
            <v>6월</v>
          </cell>
          <cell r="E516" t="str">
            <v>사이즈미정</v>
          </cell>
          <cell r="G516">
            <v>1</v>
          </cell>
          <cell r="H516">
            <v>550000</v>
          </cell>
          <cell r="I516">
            <v>0</v>
          </cell>
          <cell r="K516">
            <v>0</v>
          </cell>
        </row>
        <row r="517">
          <cell r="A517" t="str">
            <v>쿠팡</v>
          </cell>
          <cell r="C517" t="str">
            <v>6월</v>
          </cell>
          <cell r="E517" t="str">
            <v>제품</v>
          </cell>
          <cell r="G517">
            <v>1</v>
          </cell>
          <cell r="H517">
            <v>550000</v>
          </cell>
          <cell r="I517">
            <v>0</v>
          </cell>
          <cell r="K517">
            <v>0</v>
          </cell>
        </row>
        <row r="518">
          <cell r="A518" t="str">
            <v>쿠팡</v>
          </cell>
          <cell r="C518" t="str">
            <v>6월</v>
          </cell>
          <cell r="E518" t="str">
            <v>제품</v>
          </cell>
          <cell r="G518">
            <v>1</v>
          </cell>
          <cell r="H518">
            <v>550000</v>
          </cell>
          <cell r="I518">
            <v>0</v>
          </cell>
          <cell r="K518">
            <v>0</v>
          </cell>
        </row>
        <row r="519">
          <cell r="A519" t="str">
            <v>쿠팡</v>
          </cell>
          <cell r="C519" t="str">
            <v>6월</v>
          </cell>
          <cell r="E519" t="str">
            <v>배송비</v>
          </cell>
          <cell r="G519">
            <v>1</v>
          </cell>
          <cell r="H519">
            <v>9000</v>
          </cell>
          <cell r="I519">
            <v>0</v>
          </cell>
          <cell r="K519">
            <v>0</v>
          </cell>
        </row>
        <row r="520">
          <cell r="A520" t="str">
            <v>쿠팡</v>
          </cell>
          <cell r="C520" t="str">
            <v>6월</v>
          </cell>
          <cell r="E520" t="str">
            <v>제품</v>
          </cell>
          <cell r="G520">
            <v>1</v>
          </cell>
          <cell r="H520">
            <v>550000</v>
          </cell>
          <cell r="I520">
            <v>0</v>
          </cell>
          <cell r="K520">
            <v>0</v>
          </cell>
        </row>
        <row r="521">
          <cell r="A521" t="str">
            <v>쿠팡</v>
          </cell>
          <cell r="C521" t="str">
            <v>6월</v>
          </cell>
          <cell r="E521" t="str">
            <v>제품</v>
          </cell>
          <cell r="G521">
            <v>1</v>
          </cell>
          <cell r="H521">
            <v>550000</v>
          </cell>
          <cell r="I521">
            <v>0</v>
          </cell>
          <cell r="K521">
            <v>0</v>
          </cell>
        </row>
        <row r="522">
          <cell r="A522" t="str">
            <v>쿠팡</v>
          </cell>
          <cell r="C522" t="str">
            <v>6월</v>
          </cell>
          <cell r="E522" t="str">
            <v>제품</v>
          </cell>
          <cell r="G522">
            <v>1</v>
          </cell>
          <cell r="H522">
            <v>550000</v>
          </cell>
          <cell r="I522">
            <v>0</v>
          </cell>
          <cell r="K522">
            <v>0</v>
          </cell>
        </row>
        <row r="523">
          <cell r="A523" t="str">
            <v>쿠팡</v>
          </cell>
          <cell r="C523" t="str">
            <v>6월</v>
          </cell>
          <cell r="E523" t="str">
            <v>제품</v>
          </cell>
          <cell r="G523">
            <v>1</v>
          </cell>
          <cell r="H523">
            <v>550000</v>
          </cell>
          <cell r="I523">
            <v>0</v>
          </cell>
          <cell r="K523">
            <v>0</v>
          </cell>
        </row>
        <row r="524">
          <cell r="A524" t="str">
            <v>쿠팡</v>
          </cell>
          <cell r="C524" t="str">
            <v>6월</v>
          </cell>
          <cell r="E524" t="str">
            <v>제품</v>
          </cell>
          <cell r="G524">
            <v>1</v>
          </cell>
          <cell r="H524">
            <v>0</v>
          </cell>
          <cell r="I524">
            <v>550000</v>
          </cell>
          <cell r="K524">
            <v>0</v>
          </cell>
        </row>
        <row r="525">
          <cell r="A525" t="str">
            <v>쿠팡</v>
          </cell>
          <cell r="C525" t="str">
            <v>6월</v>
          </cell>
          <cell r="E525" t="str">
            <v>제품</v>
          </cell>
          <cell r="G525">
            <v>1</v>
          </cell>
          <cell r="H525">
            <v>0</v>
          </cell>
          <cell r="I525">
            <v>550000</v>
          </cell>
          <cell r="K525">
            <v>0</v>
          </cell>
        </row>
        <row r="526">
          <cell r="A526" t="str">
            <v>쿠팡</v>
          </cell>
          <cell r="C526" t="str">
            <v>6월</v>
          </cell>
          <cell r="E526" t="str">
            <v>제품</v>
          </cell>
          <cell r="G526">
            <v>1</v>
          </cell>
          <cell r="H526">
            <v>0</v>
          </cell>
          <cell r="I526">
            <v>550000</v>
          </cell>
          <cell r="K526">
            <v>0</v>
          </cell>
        </row>
        <row r="527">
          <cell r="A527" t="str">
            <v>쿠팡</v>
          </cell>
          <cell r="C527" t="str">
            <v>6월</v>
          </cell>
          <cell r="E527" t="str">
            <v>제품</v>
          </cell>
          <cell r="G527">
            <v>1</v>
          </cell>
          <cell r="H527">
            <v>0</v>
          </cell>
          <cell r="I527">
            <v>550000</v>
          </cell>
          <cell r="K527">
            <v>0</v>
          </cell>
        </row>
        <row r="528">
          <cell r="A528" t="str">
            <v>쿠팡</v>
          </cell>
          <cell r="C528" t="str">
            <v>6월</v>
          </cell>
          <cell r="E528" t="str">
            <v>제품</v>
          </cell>
          <cell r="G528">
            <v>1</v>
          </cell>
          <cell r="H528">
            <v>0</v>
          </cell>
          <cell r="I528">
            <v>550000</v>
          </cell>
          <cell r="K528">
            <v>0</v>
          </cell>
        </row>
        <row r="529">
          <cell r="A529" t="str">
            <v>쿠팡</v>
          </cell>
          <cell r="C529" t="str">
            <v>6월</v>
          </cell>
          <cell r="E529" t="str">
            <v>제품</v>
          </cell>
          <cell r="G529">
            <v>1</v>
          </cell>
          <cell r="H529">
            <v>0</v>
          </cell>
          <cell r="I529">
            <v>550000</v>
          </cell>
          <cell r="K529">
            <v>0</v>
          </cell>
        </row>
        <row r="530">
          <cell r="A530" t="str">
            <v>쿠팡</v>
          </cell>
          <cell r="C530" t="str">
            <v>6월</v>
          </cell>
          <cell r="E530" t="str">
            <v>제품</v>
          </cell>
          <cell r="G530">
            <v>1</v>
          </cell>
          <cell r="H530">
            <v>0</v>
          </cell>
          <cell r="I530">
            <v>550000</v>
          </cell>
          <cell r="K530">
            <v>0</v>
          </cell>
        </row>
        <row r="531">
          <cell r="A531" t="str">
            <v>쿠팡</v>
          </cell>
          <cell r="C531" t="str">
            <v>6월</v>
          </cell>
          <cell r="E531" t="str">
            <v>제품</v>
          </cell>
          <cell r="G531">
            <v>1</v>
          </cell>
          <cell r="H531">
            <v>550000</v>
          </cell>
          <cell r="I531">
            <v>0</v>
          </cell>
          <cell r="K531">
            <v>0</v>
          </cell>
        </row>
        <row r="532">
          <cell r="A532" t="str">
            <v>쿠팡</v>
          </cell>
          <cell r="C532" t="str">
            <v>6월</v>
          </cell>
          <cell r="E532" t="str">
            <v>제품</v>
          </cell>
          <cell r="G532">
            <v>1</v>
          </cell>
          <cell r="H532">
            <v>0</v>
          </cell>
          <cell r="I532">
            <v>550000</v>
          </cell>
          <cell r="K532">
            <v>0</v>
          </cell>
        </row>
        <row r="533">
          <cell r="A533" t="str">
            <v>쿠팡</v>
          </cell>
          <cell r="C533" t="str">
            <v>6월</v>
          </cell>
          <cell r="E533" t="str">
            <v>제품</v>
          </cell>
          <cell r="G533">
            <v>1</v>
          </cell>
          <cell r="H533">
            <v>0</v>
          </cell>
          <cell r="I533">
            <v>550000</v>
          </cell>
          <cell r="K533">
            <v>0</v>
          </cell>
        </row>
        <row r="534">
          <cell r="A534" t="str">
            <v>쿠팡</v>
          </cell>
          <cell r="C534" t="str">
            <v>6월</v>
          </cell>
          <cell r="E534" t="str">
            <v>사이즈미정</v>
          </cell>
          <cell r="G534">
            <v>1</v>
          </cell>
          <cell r="H534">
            <v>550000</v>
          </cell>
          <cell r="I534">
            <v>0</v>
          </cell>
          <cell r="K534">
            <v>0</v>
          </cell>
        </row>
        <row r="535">
          <cell r="A535" t="str">
            <v>쿠팡</v>
          </cell>
          <cell r="C535" t="str">
            <v>6월</v>
          </cell>
          <cell r="E535" t="str">
            <v>제품</v>
          </cell>
          <cell r="G535">
            <v>1</v>
          </cell>
          <cell r="H535">
            <v>528000</v>
          </cell>
          <cell r="I535">
            <v>0</v>
          </cell>
          <cell r="K535">
            <v>22000</v>
          </cell>
        </row>
        <row r="536">
          <cell r="A536" t="str">
            <v>쿠팡</v>
          </cell>
          <cell r="C536" t="str">
            <v>6월</v>
          </cell>
          <cell r="E536" t="str">
            <v>부가제품</v>
          </cell>
          <cell r="G536">
            <v>1</v>
          </cell>
          <cell r="H536">
            <v>74000</v>
          </cell>
        </row>
        <row r="537">
          <cell r="A537" t="str">
            <v>쿠팡</v>
          </cell>
          <cell r="C537" t="str">
            <v>6월</v>
          </cell>
          <cell r="E537" t="str">
            <v>제품</v>
          </cell>
          <cell r="G537">
            <v>1</v>
          </cell>
          <cell r="H537">
            <v>550000</v>
          </cell>
          <cell r="I537">
            <v>0</v>
          </cell>
          <cell r="K537">
            <v>0</v>
          </cell>
        </row>
        <row r="538">
          <cell r="A538" t="str">
            <v>쿠팡</v>
          </cell>
          <cell r="C538" t="str">
            <v>6월</v>
          </cell>
          <cell r="E538" t="str">
            <v>제품확정</v>
          </cell>
          <cell r="G538">
            <v>1</v>
          </cell>
        </row>
        <row r="539">
          <cell r="A539" t="str">
            <v>현대홈쇼핑</v>
          </cell>
          <cell r="C539" t="str">
            <v>6월</v>
          </cell>
          <cell r="E539" t="str">
            <v>사이즈미정</v>
          </cell>
          <cell r="G539">
            <v>-1</v>
          </cell>
          <cell r="J539">
            <v>-550000</v>
          </cell>
        </row>
        <row r="540">
          <cell r="A540" t="str">
            <v>현대홈쇼핑</v>
          </cell>
          <cell r="C540" t="str">
            <v>6월</v>
          </cell>
          <cell r="E540" t="str">
            <v>제품취소</v>
          </cell>
          <cell r="G540">
            <v>-1</v>
          </cell>
          <cell r="J540">
            <v>-550000</v>
          </cell>
        </row>
        <row r="541">
          <cell r="A541" t="str">
            <v>현대홈쇼핑</v>
          </cell>
          <cell r="C541" t="str">
            <v>6월</v>
          </cell>
          <cell r="E541" t="str">
            <v>사이즈미정</v>
          </cell>
          <cell r="G541">
            <v>-1</v>
          </cell>
          <cell r="J541">
            <v>-550000</v>
          </cell>
        </row>
        <row r="542">
          <cell r="A542" t="str">
            <v>현대홈쇼핑</v>
          </cell>
          <cell r="C542" t="str">
            <v>6월</v>
          </cell>
          <cell r="E542" t="str">
            <v>사이즈미정</v>
          </cell>
          <cell r="G542">
            <v>-1</v>
          </cell>
          <cell r="J542">
            <v>-550000</v>
          </cell>
        </row>
        <row r="543">
          <cell r="A543" t="str">
            <v>현대홈쇼핑</v>
          </cell>
          <cell r="C543" t="str">
            <v>6월</v>
          </cell>
          <cell r="E543" t="str">
            <v>사이즈미정</v>
          </cell>
          <cell r="G543">
            <v>-1</v>
          </cell>
          <cell r="J543">
            <v>-550000</v>
          </cell>
        </row>
        <row r="544">
          <cell r="A544" t="str">
            <v>현대홈쇼핑</v>
          </cell>
          <cell r="C544" t="str">
            <v>6월</v>
          </cell>
          <cell r="E544" t="str">
            <v>제품</v>
          </cell>
          <cell r="G544">
            <v>1</v>
          </cell>
          <cell r="J544">
            <v>550000</v>
          </cell>
        </row>
        <row r="545">
          <cell r="A545" t="str">
            <v>현대홈쇼핑</v>
          </cell>
          <cell r="C545" t="str">
            <v>6월</v>
          </cell>
          <cell r="E545" t="str">
            <v>부가제품</v>
          </cell>
          <cell r="G545">
            <v>1</v>
          </cell>
          <cell r="J545">
            <v>74000</v>
          </cell>
        </row>
        <row r="546">
          <cell r="A546" t="str">
            <v>현대홈쇼핑</v>
          </cell>
          <cell r="C546" t="str">
            <v>6월</v>
          </cell>
          <cell r="E546" t="str">
            <v>제품</v>
          </cell>
          <cell r="G546">
            <v>1</v>
          </cell>
          <cell r="J546">
            <v>550000</v>
          </cell>
        </row>
        <row r="547">
          <cell r="A547" t="str">
            <v>현대홈쇼핑</v>
          </cell>
          <cell r="C547" t="str">
            <v>6월</v>
          </cell>
          <cell r="E547" t="str">
            <v>부가제품</v>
          </cell>
          <cell r="G547">
            <v>1</v>
          </cell>
          <cell r="J547">
            <v>74000</v>
          </cell>
        </row>
        <row r="548">
          <cell r="A548" t="str">
            <v>현대홈쇼핑</v>
          </cell>
          <cell r="C548" t="str">
            <v>6월</v>
          </cell>
          <cell r="E548" t="str">
            <v>제품</v>
          </cell>
          <cell r="G548">
            <v>1</v>
          </cell>
          <cell r="J548">
            <v>550000</v>
          </cell>
        </row>
        <row r="549">
          <cell r="A549" t="str">
            <v>현대홈쇼핑</v>
          </cell>
          <cell r="C549" t="str">
            <v>6월</v>
          </cell>
          <cell r="E549" t="str">
            <v>제품확정</v>
          </cell>
          <cell r="G549">
            <v>1</v>
          </cell>
        </row>
        <row r="550">
          <cell r="A550" t="str">
            <v>현대홈쇼핑</v>
          </cell>
          <cell r="C550" t="str">
            <v>6월</v>
          </cell>
          <cell r="E550" t="str">
            <v>제품확정</v>
          </cell>
          <cell r="G550">
            <v>1</v>
          </cell>
        </row>
        <row r="551">
          <cell r="A551" t="str">
            <v>현대홈쇼핑</v>
          </cell>
          <cell r="C551" t="str">
            <v>6월</v>
          </cell>
          <cell r="E551" t="str">
            <v>제품확정</v>
          </cell>
          <cell r="G551">
            <v>1</v>
          </cell>
        </row>
        <row r="552">
          <cell r="A552" t="str">
            <v>현대홈쇼핑</v>
          </cell>
          <cell r="C552" t="str">
            <v>6월</v>
          </cell>
          <cell r="E552" t="str">
            <v>제품확정</v>
          </cell>
          <cell r="G552">
            <v>1</v>
          </cell>
        </row>
        <row r="553">
          <cell r="A553" t="str">
            <v>현대홈쇼핑</v>
          </cell>
          <cell r="C553" t="str">
            <v>6월</v>
          </cell>
          <cell r="E553" t="str">
            <v>제품확정</v>
          </cell>
          <cell r="G553">
            <v>1</v>
          </cell>
        </row>
        <row r="554">
          <cell r="A554" t="str">
            <v>현대홈쇼핑</v>
          </cell>
          <cell r="C554" t="str">
            <v>6월</v>
          </cell>
          <cell r="E554" t="str">
            <v>제품확정</v>
          </cell>
          <cell r="G554">
            <v>1</v>
          </cell>
        </row>
        <row r="555">
          <cell r="A555" t="str">
            <v>현대홈쇼핑</v>
          </cell>
          <cell r="C555" t="str">
            <v>6월</v>
          </cell>
          <cell r="E555" t="str">
            <v>제품확정</v>
          </cell>
          <cell r="G555">
            <v>1</v>
          </cell>
        </row>
        <row r="556">
          <cell r="A556" t="str">
            <v>11번가</v>
          </cell>
          <cell r="C556" t="str">
            <v>7월</v>
          </cell>
          <cell r="E556" t="str">
            <v>제품</v>
          </cell>
          <cell r="G556">
            <v>1</v>
          </cell>
          <cell r="H556">
            <v>550000</v>
          </cell>
          <cell r="I556">
            <v>0</v>
          </cell>
          <cell r="J556">
            <v>0</v>
          </cell>
          <cell r="K556">
            <v>0</v>
          </cell>
        </row>
        <row r="557">
          <cell r="A557" t="str">
            <v>SSG</v>
          </cell>
          <cell r="C557" t="str">
            <v>7월</v>
          </cell>
          <cell r="E557" t="str">
            <v>제품취소</v>
          </cell>
          <cell r="G557">
            <v>-1</v>
          </cell>
          <cell r="H557">
            <v>0</v>
          </cell>
          <cell r="I557">
            <v>-550000</v>
          </cell>
          <cell r="J557">
            <v>0</v>
          </cell>
        </row>
        <row r="558">
          <cell r="A558" t="str">
            <v>SSG</v>
          </cell>
          <cell r="C558" t="str">
            <v>7월</v>
          </cell>
          <cell r="E558" t="str">
            <v>제품</v>
          </cell>
          <cell r="G558">
            <v>1</v>
          </cell>
          <cell r="H558">
            <v>0</v>
          </cell>
          <cell r="I558">
            <v>0</v>
          </cell>
          <cell r="J558">
            <v>0</v>
          </cell>
          <cell r="K558">
            <v>550000</v>
          </cell>
        </row>
        <row r="559">
          <cell r="A559" t="str">
            <v>SSG</v>
          </cell>
          <cell r="C559" t="str">
            <v>7월</v>
          </cell>
          <cell r="E559" t="str">
            <v>제품</v>
          </cell>
          <cell r="G559">
            <v>1</v>
          </cell>
          <cell r="H559">
            <v>0</v>
          </cell>
          <cell r="I559">
            <v>0</v>
          </cell>
          <cell r="J559">
            <v>0</v>
          </cell>
          <cell r="K559">
            <v>550000</v>
          </cell>
        </row>
        <row r="560">
          <cell r="A560" t="str">
            <v>SSG</v>
          </cell>
          <cell r="C560" t="str">
            <v>7월</v>
          </cell>
          <cell r="E560" t="str">
            <v>제품</v>
          </cell>
          <cell r="G560">
            <v>1</v>
          </cell>
          <cell r="H560">
            <v>0</v>
          </cell>
          <cell r="I560">
            <v>0</v>
          </cell>
          <cell r="J560">
            <v>0</v>
          </cell>
          <cell r="K560">
            <v>550000</v>
          </cell>
        </row>
        <row r="561">
          <cell r="A561" t="str">
            <v>SSG</v>
          </cell>
          <cell r="C561" t="str">
            <v>7월</v>
          </cell>
          <cell r="E561" t="str">
            <v>제품</v>
          </cell>
          <cell r="G561">
            <v>1</v>
          </cell>
          <cell r="H561">
            <v>550000</v>
          </cell>
          <cell r="I561">
            <v>0</v>
          </cell>
          <cell r="J561">
            <v>0</v>
          </cell>
          <cell r="K561">
            <v>0</v>
          </cell>
        </row>
        <row r="562">
          <cell r="A562" t="str">
            <v>SSG</v>
          </cell>
          <cell r="C562" t="str">
            <v>7월</v>
          </cell>
          <cell r="E562" t="str">
            <v>제품</v>
          </cell>
          <cell r="G562">
            <v>1</v>
          </cell>
          <cell r="H562">
            <v>550000</v>
          </cell>
          <cell r="I562">
            <v>0</v>
          </cell>
          <cell r="J562">
            <v>0</v>
          </cell>
          <cell r="K562">
            <v>0</v>
          </cell>
        </row>
        <row r="563">
          <cell r="A563" t="str">
            <v>SSG</v>
          </cell>
          <cell r="C563" t="str">
            <v>7월</v>
          </cell>
          <cell r="E563" t="str">
            <v>제품</v>
          </cell>
          <cell r="G563">
            <v>1</v>
          </cell>
          <cell r="H563">
            <v>550000</v>
          </cell>
          <cell r="I563">
            <v>0</v>
          </cell>
          <cell r="J563">
            <v>0</v>
          </cell>
          <cell r="K563">
            <v>0</v>
          </cell>
        </row>
        <row r="564">
          <cell r="A564" t="str">
            <v>SSG</v>
          </cell>
          <cell r="C564" t="str">
            <v>7월</v>
          </cell>
          <cell r="E564" t="str">
            <v>제품</v>
          </cell>
          <cell r="G564">
            <v>1</v>
          </cell>
          <cell r="H564">
            <v>550000</v>
          </cell>
          <cell r="I564">
            <v>0</v>
          </cell>
          <cell r="J564">
            <v>0</v>
          </cell>
          <cell r="K564">
            <v>0</v>
          </cell>
        </row>
        <row r="565">
          <cell r="A565" t="str">
            <v>SSG</v>
          </cell>
          <cell r="C565" t="str">
            <v>7월</v>
          </cell>
          <cell r="E565" t="str">
            <v>제품</v>
          </cell>
          <cell r="G565">
            <v>1</v>
          </cell>
          <cell r="H565">
            <v>0</v>
          </cell>
          <cell r="I565">
            <v>0</v>
          </cell>
          <cell r="J565">
            <v>0</v>
          </cell>
          <cell r="K565">
            <v>550000</v>
          </cell>
        </row>
        <row r="566">
          <cell r="A566" t="str">
            <v>SSG</v>
          </cell>
          <cell r="C566" t="str">
            <v>7월</v>
          </cell>
          <cell r="E566" t="str">
            <v>제품</v>
          </cell>
          <cell r="G566">
            <v>1</v>
          </cell>
          <cell r="H566">
            <v>0</v>
          </cell>
          <cell r="I566">
            <v>0</v>
          </cell>
          <cell r="J566">
            <v>0</v>
          </cell>
          <cell r="K566">
            <v>550000</v>
          </cell>
        </row>
        <row r="567">
          <cell r="A567" t="str">
            <v>SSG</v>
          </cell>
          <cell r="C567" t="str">
            <v>7월</v>
          </cell>
          <cell r="E567" t="str">
            <v>제품</v>
          </cell>
          <cell r="G567">
            <v>1</v>
          </cell>
          <cell r="H567">
            <v>0</v>
          </cell>
          <cell r="I567">
            <v>0</v>
          </cell>
          <cell r="J567">
            <v>0</v>
          </cell>
          <cell r="K567">
            <v>550000</v>
          </cell>
        </row>
        <row r="568">
          <cell r="A568" t="str">
            <v>SSG</v>
          </cell>
          <cell r="C568" t="str">
            <v>7월</v>
          </cell>
          <cell r="E568" t="str">
            <v>부가제품</v>
          </cell>
          <cell r="G568">
            <v>1</v>
          </cell>
          <cell r="H568">
            <v>0</v>
          </cell>
          <cell r="I568">
            <v>0</v>
          </cell>
          <cell r="J568">
            <v>0</v>
          </cell>
          <cell r="K568">
            <v>74000</v>
          </cell>
        </row>
        <row r="569">
          <cell r="A569" t="str">
            <v>SSG</v>
          </cell>
          <cell r="C569" t="str">
            <v>7월</v>
          </cell>
          <cell r="E569" t="str">
            <v>제품</v>
          </cell>
          <cell r="G569">
            <v>1</v>
          </cell>
          <cell r="H569">
            <v>0</v>
          </cell>
          <cell r="I569">
            <v>0</v>
          </cell>
          <cell r="J569">
            <v>0</v>
          </cell>
          <cell r="K569">
            <v>550000</v>
          </cell>
        </row>
        <row r="570">
          <cell r="A570" t="str">
            <v>SSG</v>
          </cell>
          <cell r="C570" t="str">
            <v>7월</v>
          </cell>
          <cell r="E570" t="str">
            <v>제품</v>
          </cell>
          <cell r="G570">
            <v>1</v>
          </cell>
          <cell r="H570">
            <v>0</v>
          </cell>
          <cell r="I570">
            <v>0</v>
          </cell>
          <cell r="J570">
            <v>0</v>
          </cell>
          <cell r="K570">
            <v>550000</v>
          </cell>
        </row>
        <row r="571">
          <cell r="A571" t="str">
            <v>네이버</v>
          </cell>
          <cell r="C571" t="str">
            <v>7월</v>
          </cell>
          <cell r="E571" t="str">
            <v>배송비</v>
          </cell>
          <cell r="G571">
            <v>1</v>
          </cell>
          <cell r="H571">
            <v>0</v>
          </cell>
          <cell r="I571">
            <v>0</v>
          </cell>
          <cell r="J571">
            <v>0</v>
          </cell>
          <cell r="K571">
            <v>9000</v>
          </cell>
        </row>
        <row r="572">
          <cell r="A572" t="str">
            <v>네이버</v>
          </cell>
          <cell r="C572" t="str">
            <v>7월</v>
          </cell>
          <cell r="E572" t="str">
            <v>제품</v>
          </cell>
          <cell r="G572">
            <v>1</v>
          </cell>
          <cell r="H572">
            <v>549133</v>
          </cell>
          <cell r="I572">
            <v>0</v>
          </cell>
          <cell r="J572">
            <v>0</v>
          </cell>
          <cell r="K572">
            <v>867</v>
          </cell>
        </row>
        <row r="573">
          <cell r="A573" t="str">
            <v>네이버</v>
          </cell>
          <cell r="C573" t="str">
            <v>7월</v>
          </cell>
          <cell r="E573" t="str">
            <v>제품</v>
          </cell>
          <cell r="G573">
            <v>1</v>
          </cell>
          <cell r="H573">
            <v>550000</v>
          </cell>
          <cell r="I573">
            <v>0</v>
          </cell>
          <cell r="J573">
            <v>0</v>
          </cell>
          <cell r="K573">
            <v>0</v>
          </cell>
        </row>
        <row r="574">
          <cell r="A574" t="str">
            <v>네이버</v>
          </cell>
          <cell r="C574" t="str">
            <v>7월</v>
          </cell>
          <cell r="E574" t="str">
            <v>부가제품</v>
          </cell>
          <cell r="G574">
            <v>1</v>
          </cell>
          <cell r="H574">
            <v>74000</v>
          </cell>
          <cell r="I574">
            <v>0</v>
          </cell>
          <cell r="J574">
            <v>0</v>
          </cell>
          <cell r="K574">
            <v>0</v>
          </cell>
        </row>
        <row r="575">
          <cell r="A575" t="str">
            <v>네이버</v>
          </cell>
          <cell r="C575" t="str">
            <v>7월</v>
          </cell>
          <cell r="E575" t="str">
            <v>제품</v>
          </cell>
          <cell r="G575">
            <v>1</v>
          </cell>
          <cell r="H575">
            <v>550000</v>
          </cell>
          <cell r="I575">
            <v>0</v>
          </cell>
          <cell r="J575">
            <v>0</v>
          </cell>
          <cell r="K575">
            <v>0</v>
          </cell>
        </row>
        <row r="576">
          <cell r="A576" t="str">
            <v>네이버</v>
          </cell>
          <cell r="C576" t="str">
            <v>7월</v>
          </cell>
          <cell r="E576" t="str">
            <v>제품</v>
          </cell>
          <cell r="G576">
            <v>1</v>
          </cell>
          <cell r="H576">
            <v>549174</v>
          </cell>
          <cell r="I576">
            <v>0</v>
          </cell>
          <cell r="J576">
            <v>0</v>
          </cell>
          <cell r="K576">
            <v>826</v>
          </cell>
        </row>
        <row r="577">
          <cell r="A577" t="str">
            <v>네이버</v>
          </cell>
          <cell r="C577" t="str">
            <v>7월</v>
          </cell>
          <cell r="E577" t="str">
            <v>제품</v>
          </cell>
          <cell r="G577">
            <v>1</v>
          </cell>
          <cell r="H577">
            <v>550000</v>
          </cell>
          <cell r="I577">
            <v>0</v>
          </cell>
          <cell r="J577">
            <v>0</v>
          </cell>
          <cell r="K577">
            <v>0</v>
          </cell>
        </row>
        <row r="578">
          <cell r="A578" t="str">
            <v>네이버</v>
          </cell>
          <cell r="C578" t="str">
            <v>7월</v>
          </cell>
          <cell r="E578" t="str">
            <v>제품</v>
          </cell>
          <cell r="G578">
            <v>1</v>
          </cell>
          <cell r="H578">
            <v>0</v>
          </cell>
          <cell r="I578">
            <v>550000</v>
          </cell>
          <cell r="J578">
            <v>0</v>
          </cell>
          <cell r="K578">
            <v>0</v>
          </cell>
        </row>
        <row r="579">
          <cell r="A579" t="str">
            <v>네이버</v>
          </cell>
          <cell r="C579" t="str">
            <v>7월</v>
          </cell>
          <cell r="E579" t="str">
            <v>제품</v>
          </cell>
          <cell r="G579">
            <v>1</v>
          </cell>
          <cell r="H579">
            <v>0</v>
          </cell>
          <cell r="I579">
            <v>548087</v>
          </cell>
          <cell r="J579">
            <v>0</v>
          </cell>
          <cell r="K579">
            <v>1913</v>
          </cell>
        </row>
        <row r="580">
          <cell r="A580" t="str">
            <v>네이버</v>
          </cell>
          <cell r="C580" t="str">
            <v>7월</v>
          </cell>
          <cell r="E580" t="str">
            <v>부가제품</v>
          </cell>
          <cell r="G580">
            <v>1</v>
          </cell>
          <cell r="H580">
            <v>0</v>
          </cell>
          <cell r="I580">
            <v>74000</v>
          </cell>
          <cell r="J580">
            <v>0</v>
          </cell>
          <cell r="K580">
            <v>0</v>
          </cell>
        </row>
        <row r="581">
          <cell r="A581" t="str">
            <v>네이버</v>
          </cell>
          <cell r="C581" t="str">
            <v>7월</v>
          </cell>
          <cell r="E581" t="str">
            <v>제품</v>
          </cell>
          <cell r="G581">
            <v>1</v>
          </cell>
          <cell r="H581">
            <v>550000</v>
          </cell>
          <cell r="I581">
            <v>0</v>
          </cell>
          <cell r="J581">
            <v>0</v>
          </cell>
          <cell r="K581">
            <v>0</v>
          </cell>
        </row>
        <row r="582">
          <cell r="A582" t="str">
            <v>네이버</v>
          </cell>
          <cell r="C582" t="str">
            <v>7월</v>
          </cell>
          <cell r="E582" t="str">
            <v>배송비</v>
          </cell>
          <cell r="G582">
            <v>1</v>
          </cell>
          <cell r="H582">
            <v>9000</v>
          </cell>
          <cell r="I582">
            <v>0</v>
          </cell>
          <cell r="J582">
            <v>0</v>
          </cell>
          <cell r="K582">
            <v>0</v>
          </cell>
        </row>
        <row r="583">
          <cell r="A583" t="str">
            <v>네이버</v>
          </cell>
          <cell r="C583" t="str">
            <v>7월</v>
          </cell>
          <cell r="E583" t="str">
            <v>제품</v>
          </cell>
          <cell r="G583">
            <v>1</v>
          </cell>
          <cell r="H583">
            <v>550000</v>
          </cell>
          <cell r="I583">
            <v>0</v>
          </cell>
          <cell r="J583">
            <v>0</v>
          </cell>
          <cell r="K583">
            <v>0</v>
          </cell>
        </row>
        <row r="584">
          <cell r="A584" t="str">
            <v>네이버</v>
          </cell>
          <cell r="C584" t="str">
            <v>7월</v>
          </cell>
          <cell r="E584" t="str">
            <v>제품</v>
          </cell>
          <cell r="G584">
            <v>1</v>
          </cell>
          <cell r="H584">
            <v>550000</v>
          </cell>
          <cell r="I584">
            <v>0</v>
          </cell>
          <cell r="J584">
            <v>0</v>
          </cell>
          <cell r="K584">
            <v>0</v>
          </cell>
        </row>
        <row r="585">
          <cell r="A585" t="str">
            <v>네이버</v>
          </cell>
          <cell r="C585" t="str">
            <v>7월</v>
          </cell>
          <cell r="E585" t="str">
            <v>제품</v>
          </cell>
          <cell r="G585">
            <v>1</v>
          </cell>
          <cell r="H585">
            <v>550000</v>
          </cell>
          <cell r="I585">
            <v>0</v>
          </cell>
          <cell r="J585">
            <v>0</v>
          </cell>
          <cell r="K585">
            <v>0</v>
          </cell>
        </row>
        <row r="586">
          <cell r="A586" t="str">
            <v>네이버</v>
          </cell>
          <cell r="C586" t="str">
            <v>7월</v>
          </cell>
          <cell r="E586" t="str">
            <v>제품</v>
          </cell>
          <cell r="G586">
            <v>1</v>
          </cell>
          <cell r="H586">
            <v>550000</v>
          </cell>
          <cell r="I586">
            <v>0</v>
          </cell>
          <cell r="J586">
            <v>0</v>
          </cell>
          <cell r="K586">
            <v>0</v>
          </cell>
        </row>
        <row r="587">
          <cell r="A587" t="str">
            <v>네이버</v>
          </cell>
          <cell r="C587" t="str">
            <v>7월</v>
          </cell>
          <cell r="E587" t="str">
            <v>제품</v>
          </cell>
          <cell r="G587">
            <v>1</v>
          </cell>
          <cell r="H587">
            <v>550000</v>
          </cell>
          <cell r="I587">
            <v>0</v>
          </cell>
          <cell r="J587">
            <v>0</v>
          </cell>
          <cell r="K587">
            <v>0</v>
          </cell>
        </row>
        <row r="588">
          <cell r="A588" t="str">
            <v>네이버</v>
          </cell>
          <cell r="C588" t="str">
            <v>7월</v>
          </cell>
          <cell r="E588" t="str">
            <v>제품</v>
          </cell>
          <cell r="G588">
            <v>1</v>
          </cell>
          <cell r="H588">
            <v>550000</v>
          </cell>
          <cell r="I588">
            <v>0</v>
          </cell>
          <cell r="J588">
            <v>0</v>
          </cell>
          <cell r="K588">
            <v>0</v>
          </cell>
        </row>
        <row r="589">
          <cell r="A589" t="str">
            <v>네이버</v>
          </cell>
          <cell r="C589" t="str">
            <v>7월</v>
          </cell>
          <cell r="E589" t="str">
            <v>제품</v>
          </cell>
          <cell r="G589">
            <v>1</v>
          </cell>
          <cell r="H589">
            <v>550000</v>
          </cell>
          <cell r="I589">
            <v>0</v>
          </cell>
          <cell r="J589">
            <v>0</v>
          </cell>
          <cell r="K589">
            <v>0</v>
          </cell>
        </row>
        <row r="590">
          <cell r="A590" t="str">
            <v>네이버</v>
          </cell>
          <cell r="C590" t="str">
            <v>7월</v>
          </cell>
          <cell r="E590" t="str">
            <v>부가제품</v>
          </cell>
          <cell r="G590">
            <v>1</v>
          </cell>
          <cell r="H590">
            <v>74000</v>
          </cell>
          <cell r="I590">
            <v>0</v>
          </cell>
          <cell r="J590">
            <v>0</v>
          </cell>
          <cell r="K590">
            <v>0</v>
          </cell>
        </row>
        <row r="591">
          <cell r="A591" t="str">
            <v>네이버</v>
          </cell>
          <cell r="C591" t="str">
            <v>7월</v>
          </cell>
          <cell r="E591" t="str">
            <v>제품</v>
          </cell>
          <cell r="G591">
            <v>1</v>
          </cell>
          <cell r="H591">
            <v>550000</v>
          </cell>
          <cell r="I591">
            <v>0</v>
          </cell>
          <cell r="J591">
            <v>0</v>
          </cell>
          <cell r="K591">
            <v>0</v>
          </cell>
        </row>
        <row r="592">
          <cell r="A592" t="str">
            <v>네이버</v>
          </cell>
          <cell r="C592" t="str">
            <v>7월</v>
          </cell>
          <cell r="E592" t="str">
            <v>제품</v>
          </cell>
          <cell r="G592">
            <v>1</v>
          </cell>
          <cell r="H592">
            <v>550000</v>
          </cell>
          <cell r="I592">
            <v>0</v>
          </cell>
          <cell r="J592">
            <v>0</v>
          </cell>
          <cell r="K592">
            <v>0</v>
          </cell>
        </row>
        <row r="593">
          <cell r="A593" t="str">
            <v>네이버</v>
          </cell>
          <cell r="C593" t="str">
            <v>7월</v>
          </cell>
          <cell r="E593" t="str">
            <v>제품</v>
          </cell>
          <cell r="G593">
            <v>1</v>
          </cell>
          <cell r="H593">
            <v>550000</v>
          </cell>
          <cell r="I593">
            <v>0</v>
          </cell>
          <cell r="J593">
            <v>0</v>
          </cell>
          <cell r="K593">
            <v>0</v>
          </cell>
        </row>
        <row r="594">
          <cell r="A594" t="str">
            <v>네이버</v>
          </cell>
          <cell r="C594" t="str">
            <v>7월</v>
          </cell>
          <cell r="E594" t="str">
            <v>제품</v>
          </cell>
          <cell r="G594">
            <v>1</v>
          </cell>
          <cell r="H594">
            <v>0</v>
          </cell>
          <cell r="I594">
            <v>550000</v>
          </cell>
          <cell r="J594">
            <v>0</v>
          </cell>
          <cell r="K594">
            <v>0</v>
          </cell>
        </row>
        <row r="595">
          <cell r="A595" t="str">
            <v>네이버</v>
          </cell>
          <cell r="C595" t="str">
            <v>7월</v>
          </cell>
          <cell r="E595" t="str">
            <v>제품</v>
          </cell>
          <cell r="G595">
            <v>1</v>
          </cell>
          <cell r="H595">
            <v>0</v>
          </cell>
          <cell r="I595">
            <v>547173</v>
          </cell>
          <cell r="J595">
            <v>0</v>
          </cell>
          <cell r="K595">
            <v>2827</v>
          </cell>
        </row>
        <row r="596">
          <cell r="A596" t="str">
            <v>네이버</v>
          </cell>
          <cell r="C596" t="str">
            <v>7월</v>
          </cell>
          <cell r="E596" t="str">
            <v>제품</v>
          </cell>
          <cell r="G596">
            <v>1</v>
          </cell>
          <cell r="H596">
            <v>550000</v>
          </cell>
          <cell r="I596">
            <v>0</v>
          </cell>
          <cell r="J596">
            <v>0</v>
          </cell>
          <cell r="K596">
            <v>0</v>
          </cell>
        </row>
        <row r="597">
          <cell r="A597" t="str">
            <v>네이버</v>
          </cell>
          <cell r="C597" t="str">
            <v>7월</v>
          </cell>
          <cell r="E597" t="str">
            <v>제품</v>
          </cell>
          <cell r="G597">
            <v>1</v>
          </cell>
          <cell r="H597">
            <v>550000</v>
          </cell>
          <cell r="I597">
            <v>0</v>
          </cell>
          <cell r="J597">
            <v>0</v>
          </cell>
          <cell r="K597">
            <v>0</v>
          </cell>
        </row>
        <row r="598">
          <cell r="A598" t="str">
            <v>네이버</v>
          </cell>
          <cell r="C598" t="str">
            <v>7월</v>
          </cell>
          <cell r="E598" t="str">
            <v>제품</v>
          </cell>
          <cell r="G598">
            <v>1</v>
          </cell>
          <cell r="H598">
            <v>550000</v>
          </cell>
          <cell r="I598">
            <v>0</v>
          </cell>
          <cell r="J598">
            <v>0</v>
          </cell>
          <cell r="K598">
            <v>0</v>
          </cell>
        </row>
        <row r="599">
          <cell r="A599" t="str">
            <v>네이버</v>
          </cell>
          <cell r="C599" t="str">
            <v>7월</v>
          </cell>
          <cell r="E599" t="str">
            <v>부가제품</v>
          </cell>
          <cell r="G599">
            <v>1</v>
          </cell>
          <cell r="H599">
            <v>74000</v>
          </cell>
          <cell r="I599">
            <v>0</v>
          </cell>
          <cell r="J599">
            <v>0</v>
          </cell>
          <cell r="K599">
            <v>0</v>
          </cell>
        </row>
        <row r="600">
          <cell r="A600" t="str">
            <v>네이버</v>
          </cell>
          <cell r="C600" t="str">
            <v>7월</v>
          </cell>
          <cell r="E600" t="str">
            <v>제품</v>
          </cell>
          <cell r="G600">
            <v>1</v>
          </cell>
          <cell r="H600">
            <v>548769</v>
          </cell>
          <cell r="I600">
            <v>0</v>
          </cell>
          <cell r="J600">
            <v>0</v>
          </cell>
          <cell r="K600">
            <v>1231</v>
          </cell>
        </row>
        <row r="601">
          <cell r="A601" t="str">
            <v>네이버</v>
          </cell>
          <cell r="C601" t="str">
            <v>7월</v>
          </cell>
          <cell r="E601" t="str">
            <v>제품</v>
          </cell>
          <cell r="G601">
            <v>1</v>
          </cell>
          <cell r="H601">
            <v>549930.5</v>
          </cell>
          <cell r="I601">
            <v>0</v>
          </cell>
          <cell r="J601">
            <v>0</v>
          </cell>
          <cell r="K601">
            <v>69.5</v>
          </cell>
        </row>
        <row r="602">
          <cell r="A602" t="str">
            <v>네이버</v>
          </cell>
          <cell r="C602" t="str">
            <v>7월</v>
          </cell>
          <cell r="E602" t="str">
            <v>제품</v>
          </cell>
          <cell r="G602">
            <v>1</v>
          </cell>
          <cell r="H602">
            <v>549930.5</v>
          </cell>
          <cell r="I602">
            <v>0</v>
          </cell>
          <cell r="J602">
            <v>0</v>
          </cell>
          <cell r="K602">
            <v>69.5</v>
          </cell>
        </row>
        <row r="603">
          <cell r="A603" t="str">
            <v>네이버</v>
          </cell>
          <cell r="C603" t="str">
            <v>7월</v>
          </cell>
          <cell r="E603" t="str">
            <v>제품</v>
          </cell>
          <cell r="G603">
            <v>1</v>
          </cell>
          <cell r="H603">
            <v>550000</v>
          </cell>
          <cell r="I603">
            <v>0</v>
          </cell>
          <cell r="J603">
            <v>0</v>
          </cell>
          <cell r="K603">
            <v>0</v>
          </cell>
        </row>
        <row r="604">
          <cell r="A604" t="str">
            <v>네이버</v>
          </cell>
          <cell r="C604" t="str">
            <v>7월</v>
          </cell>
          <cell r="E604" t="str">
            <v>제품</v>
          </cell>
          <cell r="G604">
            <v>1</v>
          </cell>
          <cell r="H604">
            <v>550000</v>
          </cell>
          <cell r="I604">
            <v>0</v>
          </cell>
          <cell r="J604">
            <v>0</v>
          </cell>
          <cell r="K604">
            <v>0</v>
          </cell>
        </row>
        <row r="605">
          <cell r="A605" t="str">
            <v>네이버</v>
          </cell>
          <cell r="C605" t="str">
            <v>7월</v>
          </cell>
          <cell r="E605" t="str">
            <v>제품</v>
          </cell>
          <cell r="G605">
            <v>1</v>
          </cell>
          <cell r="H605">
            <v>0</v>
          </cell>
          <cell r="I605">
            <v>550000</v>
          </cell>
          <cell r="J605">
            <v>0</v>
          </cell>
          <cell r="K605">
            <v>0</v>
          </cell>
        </row>
        <row r="606">
          <cell r="A606" t="str">
            <v>네이버</v>
          </cell>
          <cell r="C606" t="str">
            <v>7월</v>
          </cell>
          <cell r="E606" t="str">
            <v>제품</v>
          </cell>
          <cell r="G606">
            <v>1</v>
          </cell>
          <cell r="H606">
            <v>550000</v>
          </cell>
          <cell r="I606">
            <v>0</v>
          </cell>
          <cell r="J606">
            <v>0</v>
          </cell>
          <cell r="K606">
            <v>0</v>
          </cell>
        </row>
        <row r="607">
          <cell r="A607" t="str">
            <v>네이버</v>
          </cell>
          <cell r="C607" t="str">
            <v>7월</v>
          </cell>
          <cell r="E607" t="str">
            <v>제품</v>
          </cell>
          <cell r="G607">
            <v>1</v>
          </cell>
          <cell r="H607">
            <v>550000</v>
          </cell>
          <cell r="I607">
            <v>0</v>
          </cell>
          <cell r="J607">
            <v>0</v>
          </cell>
          <cell r="K607">
            <v>0</v>
          </cell>
        </row>
        <row r="608">
          <cell r="A608" t="str">
            <v>네이버</v>
          </cell>
          <cell r="C608" t="str">
            <v>7월</v>
          </cell>
          <cell r="E608" t="str">
            <v>제품</v>
          </cell>
          <cell r="G608">
            <v>1</v>
          </cell>
          <cell r="H608">
            <v>550000</v>
          </cell>
          <cell r="I608">
            <v>0</v>
          </cell>
          <cell r="J608">
            <v>0</v>
          </cell>
          <cell r="K608">
            <v>0</v>
          </cell>
        </row>
        <row r="609">
          <cell r="A609" t="str">
            <v>네이버</v>
          </cell>
          <cell r="C609" t="str">
            <v>7월</v>
          </cell>
          <cell r="E609" t="str">
            <v>제품</v>
          </cell>
          <cell r="G609">
            <v>1</v>
          </cell>
          <cell r="H609">
            <v>550000</v>
          </cell>
          <cell r="I609">
            <v>0</v>
          </cell>
          <cell r="J609">
            <v>0</v>
          </cell>
          <cell r="K609">
            <v>0</v>
          </cell>
        </row>
        <row r="610">
          <cell r="A610" t="str">
            <v>네이버</v>
          </cell>
          <cell r="C610" t="str">
            <v>7월</v>
          </cell>
          <cell r="E610" t="str">
            <v>부가제품</v>
          </cell>
          <cell r="G610">
            <v>1</v>
          </cell>
          <cell r="H610">
            <v>74000</v>
          </cell>
          <cell r="I610">
            <v>0</v>
          </cell>
          <cell r="J610">
            <v>0</v>
          </cell>
          <cell r="K610">
            <v>0</v>
          </cell>
        </row>
        <row r="611">
          <cell r="A611" t="str">
            <v>네이버</v>
          </cell>
          <cell r="C611" t="str">
            <v>7월</v>
          </cell>
          <cell r="E611" t="str">
            <v>제품</v>
          </cell>
          <cell r="G611">
            <v>1</v>
          </cell>
          <cell r="H611">
            <v>550000</v>
          </cell>
          <cell r="I611">
            <v>0</v>
          </cell>
          <cell r="J611">
            <v>0</v>
          </cell>
          <cell r="K611">
            <v>0</v>
          </cell>
        </row>
        <row r="612">
          <cell r="A612" t="str">
            <v>네이버</v>
          </cell>
          <cell r="C612" t="str">
            <v>7월</v>
          </cell>
          <cell r="E612" t="str">
            <v>제품</v>
          </cell>
          <cell r="G612">
            <v>1</v>
          </cell>
          <cell r="H612">
            <v>0</v>
          </cell>
          <cell r="I612">
            <v>550000</v>
          </cell>
          <cell r="J612">
            <v>0</v>
          </cell>
          <cell r="K612">
            <v>0</v>
          </cell>
        </row>
        <row r="613">
          <cell r="A613" t="str">
            <v>네이버</v>
          </cell>
          <cell r="C613" t="str">
            <v>7월</v>
          </cell>
          <cell r="E613" t="str">
            <v>제품</v>
          </cell>
          <cell r="G613">
            <v>1</v>
          </cell>
          <cell r="H613">
            <v>540000</v>
          </cell>
          <cell r="I613">
            <v>0</v>
          </cell>
          <cell r="J613">
            <v>0</v>
          </cell>
          <cell r="K613">
            <v>10000</v>
          </cell>
        </row>
        <row r="614">
          <cell r="A614" t="str">
            <v>네이버</v>
          </cell>
          <cell r="C614" t="str">
            <v>7월</v>
          </cell>
          <cell r="E614" t="str">
            <v>제품</v>
          </cell>
          <cell r="G614">
            <v>1</v>
          </cell>
          <cell r="H614">
            <v>550000</v>
          </cell>
          <cell r="I614">
            <v>0</v>
          </cell>
          <cell r="J614">
            <v>0</v>
          </cell>
          <cell r="K614">
            <v>0</v>
          </cell>
        </row>
        <row r="615">
          <cell r="A615" t="str">
            <v>네이버</v>
          </cell>
          <cell r="C615" t="str">
            <v>7월</v>
          </cell>
          <cell r="E615" t="str">
            <v>제품취소</v>
          </cell>
          <cell r="G615">
            <v>-1</v>
          </cell>
          <cell r="H615">
            <v>-550000</v>
          </cell>
          <cell r="I615">
            <v>0</v>
          </cell>
          <cell r="J615">
            <v>0</v>
          </cell>
          <cell r="K615">
            <v>0</v>
          </cell>
        </row>
        <row r="616">
          <cell r="A616" t="str">
            <v>네이버</v>
          </cell>
          <cell r="C616" t="str">
            <v>7월</v>
          </cell>
          <cell r="E616" t="str">
            <v>제품확정</v>
          </cell>
          <cell r="G616">
            <v>1</v>
          </cell>
        </row>
        <row r="617">
          <cell r="A617" t="str">
            <v>네이버</v>
          </cell>
          <cell r="C617" t="str">
            <v>7월</v>
          </cell>
          <cell r="E617" t="str">
            <v>제품확정</v>
          </cell>
          <cell r="G617">
            <v>1</v>
          </cell>
        </row>
        <row r="618">
          <cell r="A618" t="str">
            <v>네이버</v>
          </cell>
          <cell r="C618" t="str">
            <v>7월</v>
          </cell>
          <cell r="E618" t="str">
            <v>제품확정</v>
          </cell>
          <cell r="G618">
            <v>1</v>
          </cell>
        </row>
        <row r="619">
          <cell r="A619" t="str">
            <v>베네피아</v>
          </cell>
          <cell r="C619" t="str">
            <v>7월</v>
          </cell>
          <cell r="E619" t="str">
            <v>제품</v>
          </cell>
          <cell r="G619">
            <v>1</v>
          </cell>
          <cell r="H619">
            <v>0</v>
          </cell>
          <cell r="I619">
            <v>550000</v>
          </cell>
          <cell r="J619">
            <v>0</v>
          </cell>
          <cell r="K619">
            <v>0</v>
          </cell>
        </row>
        <row r="620">
          <cell r="A620" t="str">
            <v>베네피아</v>
          </cell>
          <cell r="C620" t="str">
            <v>7월</v>
          </cell>
          <cell r="E620" t="str">
            <v>제품</v>
          </cell>
          <cell r="G620">
            <v>1</v>
          </cell>
          <cell r="H620">
            <v>0</v>
          </cell>
          <cell r="I620">
            <v>525000</v>
          </cell>
          <cell r="J620">
            <v>0</v>
          </cell>
          <cell r="K620">
            <v>25000</v>
          </cell>
        </row>
        <row r="621">
          <cell r="A621" t="str">
            <v>베네피아</v>
          </cell>
          <cell r="C621" t="str">
            <v>7월</v>
          </cell>
          <cell r="E621" t="str">
            <v>제품</v>
          </cell>
          <cell r="G621">
            <v>1</v>
          </cell>
          <cell r="H621">
            <v>0</v>
          </cell>
          <cell r="I621">
            <v>550000</v>
          </cell>
          <cell r="J621">
            <v>0</v>
          </cell>
          <cell r="K621">
            <v>0</v>
          </cell>
        </row>
        <row r="622">
          <cell r="A622" t="str">
            <v>옥션</v>
          </cell>
          <cell r="C622" t="str">
            <v>7월</v>
          </cell>
          <cell r="E622" t="str">
            <v>제품</v>
          </cell>
          <cell r="G622">
            <v>1</v>
          </cell>
          <cell r="H622">
            <v>540000</v>
          </cell>
          <cell r="I622">
            <v>0</v>
          </cell>
          <cell r="J622">
            <v>0</v>
          </cell>
          <cell r="K622">
            <v>0</v>
          </cell>
        </row>
        <row r="623">
          <cell r="A623" t="str">
            <v>지마켓</v>
          </cell>
          <cell r="C623" t="str">
            <v>7월</v>
          </cell>
          <cell r="E623" t="str">
            <v>제품</v>
          </cell>
          <cell r="G623">
            <v>1</v>
          </cell>
          <cell r="H623">
            <v>500000</v>
          </cell>
          <cell r="I623">
            <v>0</v>
          </cell>
          <cell r="J623">
            <v>0</v>
          </cell>
          <cell r="K623">
            <v>50000</v>
          </cell>
        </row>
        <row r="624">
          <cell r="A624" t="str">
            <v>카페24</v>
          </cell>
          <cell r="C624" t="str">
            <v>7월</v>
          </cell>
          <cell r="E624" t="str">
            <v>제품</v>
          </cell>
          <cell r="G624">
            <v>1</v>
          </cell>
          <cell r="H624">
            <v>550000</v>
          </cell>
          <cell r="I624">
            <v>0</v>
          </cell>
          <cell r="J624">
            <v>0</v>
          </cell>
          <cell r="K624">
            <v>0</v>
          </cell>
        </row>
        <row r="625">
          <cell r="A625" t="str">
            <v>카페24</v>
          </cell>
          <cell r="C625" t="str">
            <v>7월</v>
          </cell>
          <cell r="E625" t="str">
            <v>부가제품</v>
          </cell>
          <cell r="G625">
            <v>1</v>
          </cell>
          <cell r="H625">
            <v>74000</v>
          </cell>
          <cell r="I625">
            <v>0</v>
          </cell>
          <cell r="J625">
            <v>0</v>
          </cell>
          <cell r="K625">
            <v>0</v>
          </cell>
        </row>
        <row r="626">
          <cell r="A626" t="str">
            <v>카페24</v>
          </cell>
          <cell r="C626" t="str">
            <v>7월</v>
          </cell>
          <cell r="E626" t="str">
            <v>제품</v>
          </cell>
          <cell r="G626">
            <v>1</v>
          </cell>
          <cell r="H626">
            <v>550000</v>
          </cell>
          <cell r="I626">
            <v>0</v>
          </cell>
          <cell r="J626">
            <v>0</v>
          </cell>
          <cell r="K626">
            <v>0</v>
          </cell>
        </row>
        <row r="627">
          <cell r="A627" t="str">
            <v>카페24</v>
          </cell>
          <cell r="C627" t="str">
            <v>7월</v>
          </cell>
          <cell r="E627" t="str">
            <v>사이즈미정</v>
          </cell>
          <cell r="G627">
            <v>1</v>
          </cell>
          <cell r="H627">
            <v>550000</v>
          </cell>
          <cell r="I627">
            <v>0</v>
          </cell>
          <cell r="J627">
            <v>0</v>
          </cell>
          <cell r="K627">
            <v>0</v>
          </cell>
        </row>
        <row r="628">
          <cell r="A628" t="str">
            <v>카페24</v>
          </cell>
          <cell r="C628" t="str">
            <v>7월</v>
          </cell>
          <cell r="E628" t="str">
            <v>부가제품</v>
          </cell>
          <cell r="G628">
            <v>1</v>
          </cell>
          <cell r="H628">
            <v>74000</v>
          </cell>
          <cell r="I628">
            <v>0</v>
          </cell>
          <cell r="J628">
            <v>0</v>
          </cell>
          <cell r="K628">
            <v>0</v>
          </cell>
        </row>
        <row r="629">
          <cell r="A629" t="str">
            <v>카페24</v>
          </cell>
          <cell r="C629" t="str">
            <v>7월</v>
          </cell>
          <cell r="E629" t="str">
            <v>제품</v>
          </cell>
          <cell r="G629">
            <v>1</v>
          </cell>
          <cell r="H629">
            <v>550000</v>
          </cell>
          <cell r="I629">
            <v>0</v>
          </cell>
          <cell r="J629">
            <v>0</v>
          </cell>
          <cell r="K629">
            <v>0</v>
          </cell>
        </row>
        <row r="630">
          <cell r="A630" t="str">
            <v>카페24</v>
          </cell>
          <cell r="C630" t="str">
            <v>7월</v>
          </cell>
          <cell r="E630" t="str">
            <v>제품</v>
          </cell>
          <cell r="G630">
            <v>1</v>
          </cell>
          <cell r="H630">
            <v>550000</v>
          </cell>
          <cell r="I630">
            <v>0</v>
          </cell>
          <cell r="J630">
            <v>0</v>
          </cell>
          <cell r="K630">
            <v>0</v>
          </cell>
        </row>
        <row r="631">
          <cell r="A631" t="str">
            <v>카페24</v>
          </cell>
          <cell r="C631" t="str">
            <v>7월</v>
          </cell>
          <cell r="E631" t="str">
            <v>제품</v>
          </cell>
          <cell r="G631">
            <v>1</v>
          </cell>
          <cell r="H631">
            <v>550000</v>
          </cell>
          <cell r="I631">
            <v>0</v>
          </cell>
          <cell r="J631">
            <v>0</v>
          </cell>
          <cell r="K631">
            <v>0</v>
          </cell>
        </row>
        <row r="632">
          <cell r="A632" t="str">
            <v>카페24</v>
          </cell>
          <cell r="C632" t="str">
            <v>7월</v>
          </cell>
          <cell r="E632" t="str">
            <v>제품</v>
          </cell>
          <cell r="G632">
            <v>1</v>
          </cell>
          <cell r="H632">
            <v>550000</v>
          </cell>
          <cell r="I632">
            <v>0</v>
          </cell>
          <cell r="J632">
            <v>0</v>
          </cell>
          <cell r="K632">
            <v>0</v>
          </cell>
        </row>
        <row r="633">
          <cell r="A633" t="str">
            <v>카페24</v>
          </cell>
          <cell r="C633" t="str">
            <v>7월</v>
          </cell>
          <cell r="E633" t="str">
            <v>제품</v>
          </cell>
          <cell r="G633">
            <v>1</v>
          </cell>
          <cell r="H633">
            <v>0</v>
          </cell>
          <cell r="I633">
            <v>550000</v>
          </cell>
          <cell r="J633">
            <v>0</v>
          </cell>
          <cell r="K633">
            <v>0</v>
          </cell>
        </row>
        <row r="634">
          <cell r="A634" t="str">
            <v>카페24</v>
          </cell>
          <cell r="C634" t="str">
            <v>7월</v>
          </cell>
          <cell r="E634" t="str">
            <v>부가제품</v>
          </cell>
          <cell r="G634">
            <v>1</v>
          </cell>
          <cell r="H634">
            <v>0</v>
          </cell>
          <cell r="I634">
            <v>74000</v>
          </cell>
          <cell r="J634">
            <v>0</v>
          </cell>
          <cell r="K634">
            <v>0</v>
          </cell>
        </row>
        <row r="635">
          <cell r="A635" t="str">
            <v>카페24</v>
          </cell>
          <cell r="C635" t="str">
            <v>7월</v>
          </cell>
          <cell r="E635" t="str">
            <v>제품확정</v>
          </cell>
          <cell r="G635">
            <v>1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</row>
        <row r="636">
          <cell r="A636" t="str">
            <v>쿠팡</v>
          </cell>
          <cell r="C636" t="str">
            <v>7월</v>
          </cell>
          <cell r="E636" t="str">
            <v>제품취소</v>
          </cell>
          <cell r="G636">
            <v>-1</v>
          </cell>
          <cell r="H636">
            <v>-550000</v>
          </cell>
          <cell r="I636">
            <v>0</v>
          </cell>
          <cell r="J636">
            <v>0</v>
          </cell>
          <cell r="K636">
            <v>0</v>
          </cell>
        </row>
        <row r="637">
          <cell r="A637" t="str">
            <v>쿠팡</v>
          </cell>
          <cell r="C637" t="str">
            <v>7월</v>
          </cell>
          <cell r="E637" t="str">
            <v>제품취소</v>
          </cell>
          <cell r="G637">
            <v>-1</v>
          </cell>
          <cell r="H637">
            <v>-522000</v>
          </cell>
          <cell r="I637">
            <v>0</v>
          </cell>
          <cell r="J637">
            <v>0</v>
          </cell>
          <cell r="K637">
            <v>-28000</v>
          </cell>
        </row>
        <row r="638">
          <cell r="A638" t="str">
            <v>쿠팡</v>
          </cell>
          <cell r="C638" t="str">
            <v>7월</v>
          </cell>
          <cell r="E638" t="str">
            <v>제품취소</v>
          </cell>
          <cell r="G638">
            <v>-1</v>
          </cell>
          <cell r="H638">
            <v>-550000</v>
          </cell>
          <cell r="I638">
            <v>0</v>
          </cell>
          <cell r="J638">
            <v>0</v>
          </cell>
          <cell r="K638">
            <v>0</v>
          </cell>
        </row>
        <row r="639">
          <cell r="A639" t="str">
            <v>쿠팡</v>
          </cell>
          <cell r="C639" t="str">
            <v>7월</v>
          </cell>
          <cell r="E639" t="str">
            <v>제품취소</v>
          </cell>
          <cell r="G639">
            <v>-1</v>
          </cell>
          <cell r="H639">
            <v>0</v>
          </cell>
          <cell r="I639">
            <v>-550000</v>
          </cell>
          <cell r="J639">
            <v>0</v>
          </cell>
          <cell r="K639">
            <v>0</v>
          </cell>
        </row>
        <row r="640">
          <cell r="A640" t="str">
            <v>쿠팡</v>
          </cell>
          <cell r="C640" t="str">
            <v>7월</v>
          </cell>
          <cell r="E640" t="str">
            <v>사이즈미정</v>
          </cell>
          <cell r="G640">
            <v>-1</v>
          </cell>
          <cell r="H640">
            <v>-550000</v>
          </cell>
          <cell r="I640">
            <v>0</v>
          </cell>
          <cell r="J640">
            <v>0</v>
          </cell>
          <cell r="K640">
            <v>0</v>
          </cell>
        </row>
        <row r="641">
          <cell r="A641" t="str">
            <v>쿠팡</v>
          </cell>
          <cell r="C641" t="str">
            <v>7월</v>
          </cell>
          <cell r="E641" t="str">
            <v>배송비</v>
          </cell>
          <cell r="G641">
            <v>1</v>
          </cell>
          <cell r="H641">
            <v>9000</v>
          </cell>
          <cell r="I641">
            <v>0</v>
          </cell>
          <cell r="J641">
            <v>0</v>
          </cell>
          <cell r="K641">
            <v>0</v>
          </cell>
        </row>
        <row r="642">
          <cell r="A642" t="str">
            <v>쿠팡</v>
          </cell>
          <cell r="C642" t="str">
            <v>7월</v>
          </cell>
          <cell r="E642" t="str">
            <v>제품</v>
          </cell>
          <cell r="G642">
            <v>1</v>
          </cell>
          <cell r="H642">
            <v>550000</v>
          </cell>
          <cell r="I642">
            <v>0</v>
          </cell>
          <cell r="J642">
            <v>0</v>
          </cell>
          <cell r="K642">
            <v>0</v>
          </cell>
        </row>
        <row r="643">
          <cell r="A643" t="str">
            <v>쿠팡</v>
          </cell>
          <cell r="C643" t="str">
            <v>7월</v>
          </cell>
          <cell r="E643" t="str">
            <v>제품</v>
          </cell>
          <cell r="G643">
            <v>1</v>
          </cell>
          <cell r="H643">
            <v>550000</v>
          </cell>
          <cell r="I643">
            <v>0</v>
          </cell>
          <cell r="J643">
            <v>0</v>
          </cell>
          <cell r="K643">
            <v>0</v>
          </cell>
        </row>
        <row r="644">
          <cell r="A644" t="str">
            <v>쿠팡</v>
          </cell>
          <cell r="C644" t="str">
            <v>7월</v>
          </cell>
          <cell r="E644" t="str">
            <v>제품</v>
          </cell>
          <cell r="G644">
            <v>1</v>
          </cell>
          <cell r="H644">
            <v>550000</v>
          </cell>
          <cell r="I644">
            <v>0</v>
          </cell>
          <cell r="J644">
            <v>0</v>
          </cell>
          <cell r="K644">
            <v>0</v>
          </cell>
        </row>
        <row r="645">
          <cell r="A645" t="str">
            <v>쿠팡</v>
          </cell>
          <cell r="C645" t="str">
            <v>7월</v>
          </cell>
          <cell r="E645" t="str">
            <v>제품</v>
          </cell>
          <cell r="G645">
            <v>1</v>
          </cell>
          <cell r="H645">
            <v>550000</v>
          </cell>
          <cell r="I645">
            <v>0</v>
          </cell>
          <cell r="J645">
            <v>0</v>
          </cell>
          <cell r="K645">
            <v>0</v>
          </cell>
        </row>
        <row r="646">
          <cell r="A646" t="str">
            <v>쿠팡</v>
          </cell>
          <cell r="C646" t="str">
            <v>7월</v>
          </cell>
          <cell r="E646" t="str">
            <v>제품</v>
          </cell>
          <cell r="G646">
            <v>1</v>
          </cell>
          <cell r="H646">
            <v>550000</v>
          </cell>
          <cell r="I646">
            <v>0</v>
          </cell>
          <cell r="J646">
            <v>0</v>
          </cell>
          <cell r="K646">
            <v>0</v>
          </cell>
        </row>
        <row r="647">
          <cell r="A647" t="str">
            <v>쿠팡</v>
          </cell>
          <cell r="C647" t="str">
            <v>7월</v>
          </cell>
          <cell r="E647" t="str">
            <v>제품</v>
          </cell>
          <cell r="G647">
            <v>1</v>
          </cell>
          <cell r="H647">
            <v>535000</v>
          </cell>
          <cell r="I647">
            <v>0</v>
          </cell>
          <cell r="J647">
            <v>0</v>
          </cell>
          <cell r="K647">
            <v>15000</v>
          </cell>
        </row>
        <row r="648">
          <cell r="A648" t="str">
            <v>쿠팡</v>
          </cell>
          <cell r="C648" t="str">
            <v>7월</v>
          </cell>
          <cell r="E648" t="str">
            <v>제품</v>
          </cell>
          <cell r="G648">
            <v>1</v>
          </cell>
          <cell r="H648">
            <v>550000</v>
          </cell>
          <cell r="I648">
            <v>0</v>
          </cell>
          <cell r="J648">
            <v>0</v>
          </cell>
          <cell r="K648">
            <v>0</v>
          </cell>
        </row>
        <row r="649">
          <cell r="A649" t="str">
            <v>쿠팡</v>
          </cell>
          <cell r="C649" t="str">
            <v>7월</v>
          </cell>
          <cell r="E649" t="str">
            <v>부가제품</v>
          </cell>
          <cell r="G649">
            <v>1</v>
          </cell>
          <cell r="H649">
            <v>74000</v>
          </cell>
          <cell r="I649">
            <v>0</v>
          </cell>
          <cell r="J649">
            <v>0</v>
          </cell>
          <cell r="K649">
            <v>0</v>
          </cell>
        </row>
        <row r="650">
          <cell r="A650" t="str">
            <v>쿠팡</v>
          </cell>
          <cell r="C650" t="str">
            <v>7월</v>
          </cell>
          <cell r="E650" t="str">
            <v>제품</v>
          </cell>
          <cell r="G650">
            <v>1</v>
          </cell>
          <cell r="H650">
            <v>550000</v>
          </cell>
          <cell r="I650">
            <v>0</v>
          </cell>
          <cell r="J650">
            <v>0</v>
          </cell>
          <cell r="K650">
            <v>0</v>
          </cell>
        </row>
        <row r="651">
          <cell r="A651" t="str">
            <v>쿠팡</v>
          </cell>
          <cell r="C651" t="str">
            <v>7월</v>
          </cell>
          <cell r="E651" t="str">
            <v>제품</v>
          </cell>
          <cell r="G651">
            <v>1</v>
          </cell>
          <cell r="H651">
            <v>550000</v>
          </cell>
          <cell r="I651">
            <v>0</v>
          </cell>
          <cell r="J651">
            <v>0</v>
          </cell>
          <cell r="K651">
            <v>0</v>
          </cell>
        </row>
        <row r="652">
          <cell r="A652" t="str">
            <v>쿠팡</v>
          </cell>
          <cell r="C652" t="str">
            <v>7월</v>
          </cell>
          <cell r="E652" t="str">
            <v>제품</v>
          </cell>
          <cell r="G652">
            <v>1</v>
          </cell>
          <cell r="H652">
            <v>550000</v>
          </cell>
          <cell r="I652">
            <v>0</v>
          </cell>
          <cell r="J652">
            <v>0</v>
          </cell>
          <cell r="K652">
            <v>0</v>
          </cell>
        </row>
        <row r="653">
          <cell r="A653" t="str">
            <v>쿠팡</v>
          </cell>
          <cell r="C653" t="str">
            <v>7월</v>
          </cell>
          <cell r="E653" t="str">
            <v>부가제품</v>
          </cell>
          <cell r="G653">
            <v>1</v>
          </cell>
          <cell r="H653">
            <v>74000</v>
          </cell>
          <cell r="I653">
            <v>0</v>
          </cell>
          <cell r="J653">
            <v>0</v>
          </cell>
          <cell r="K653">
            <v>0</v>
          </cell>
        </row>
        <row r="654">
          <cell r="A654" t="str">
            <v>쿠팡</v>
          </cell>
          <cell r="C654" t="str">
            <v>7월</v>
          </cell>
          <cell r="E654" t="str">
            <v>제품</v>
          </cell>
          <cell r="G654">
            <v>1</v>
          </cell>
          <cell r="H654">
            <v>550000</v>
          </cell>
          <cell r="I654">
            <v>0</v>
          </cell>
          <cell r="J654">
            <v>0</v>
          </cell>
          <cell r="K654">
            <v>0</v>
          </cell>
        </row>
        <row r="655">
          <cell r="A655" t="str">
            <v>쿠팡</v>
          </cell>
          <cell r="C655" t="str">
            <v>7월</v>
          </cell>
          <cell r="E655" t="str">
            <v>제품</v>
          </cell>
          <cell r="G655">
            <v>1</v>
          </cell>
          <cell r="H655">
            <v>550000</v>
          </cell>
          <cell r="I655">
            <v>0</v>
          </cell>
          <cell r="J655">
            <v>0</v>
          </cell>
          <cell r="K655">
            <v>0</v>
          </cell>
        </row>
        <row r="656">
          <cell r="A656" t="str">
            <v>쿠팡</v>
          </cell>
          <cell r="C656" t="str">
            <v>7월</v>
          </cell>
          <cell r="E656" t="str">
            <v>제품</v>
          </cell>
          <cell r="G656">
            <v>1</v>
          </cell>
          <cell r="H656">
            <v>500000</v>
          </cell>
          <cell r="I656">
            <v>0</v>
          </cell>
          <cell r="J656">
            <v>0</v>
          </cell>
          <cell r="K656">
            <v>50000</v>
          </cell>
        </row>
        <row r="657">
          <cell r="A657" t="str">
            <v>쿠팡</v>
          </cell>
          <cell r="C657" t="str">
            <v>7월</v>
          </cell>
          <cell r="E657" t="str">
            <v>제품취소</v>
          </cell>
          <cell r="G657">
            <v>-1</v>
          </cell>
          <cell r="H657">
            <v>-500000</v>
          </cell>
          <cell r="I657">
            <v>0</v>
          </cell>
          <cell r="J657">
            <v>0</v>
          </cell>
          <cell r="K657">
            <v>-50000</v>
          </cell>
        </row>
        <row r="658">
          <cell r="A658" t="str">
            <v>쿠팡</v>
          </cell>
          <cell r="C658" t="str">
            <v>7월</v>
          </cell>
          <cell r="E658" t="str">
            <v>제품</v>
          </cell>
          <cell r="G658">
            <v>1</v>
          </cell>
          <cell r="H658">
            <v>550000</v>
          </cell>
          <cell r="I658">
            <v>0</v>
          </cell>
          <cell r="J658">
            <v>0</v>
          </cell>
          <cell r="K658">
            <v>0</v>
          </cell>
        </row>
        <row r="659">
          <cell r="A659" t="str">
            <v>쿠팡</v>
          </cell>
          <cell r="C659" t="str">
            <v>7월</v>
          </cell>
          <cell r="E659" t="str">
            <v>제품</v>
          </cell>
          <cell r="G659">
            <v>1</v>
          </cell>
          <cell r="H659">
            <v>550000</v>
          </cell>
          <cell r="I659">
            <v>0</v>
          </cell>
          <cell r="J659">
            <v>0</v>
          </cell>
          <cell r="K659">
            <v>0</v>
          </cell>
        </row>
        <row r="660">
          <cell r="A660" t="str">
            <v>쿠팡</v>
          </cell>
          <cell r="C660" t="str">
            <v>7월</v>
          </cell>
          <cell r="E660" t="str">
            <v>배송비</v>
          </cell>
          <cell r="G660">
            <v>1</v>
          </cell>
          <cell r="H660">
            <v>9000</v>
          </cell>
          <cell r="I660">
            <v>0</v>
          </cell>
          <cell r="J660">
            <v>0</v>
          </cell>
          <cell r="K660">
            <v>0</v>
          </cell>
        </row>
        <row r="661">
          <cell r="A661" t="str">
            <v>쿠팡</v>
          </cell>
          <cell r="C661" t="str">
            <v>7월</v>
          </cell>
          <cell r="E661" t="str">
            <v>제품</v>
          </cell>
          <cell r="G661">
            <v>1</v>
          </cell>
          <cell r="H661">
            <v>550000</v>
          </cell>
          <cell r="I661">
            <v>0</v>
          </cell>
          <cell r="J661">
            <v>0</v>
          </cell>
          <cell r="K661">
            <v>0</v>
          </cell>
        </row>
        <row r="662">
          <cell r="A662" t="str">
            <v>쿠팡</v>
          </cell>
          <cell r="C662" t="str">
            <v>7월</v>
          </cell>
          <cell r="E662" t="str">
            <v>제품</v>
          </cell>
          <cell r="G662">
            <v>1</v>
          </cell>
          <cell r="H662">
            <v>0</v>
          </cell>
          <cell r="I662">
            <v>550000</v>
          </cell>
          <cell r="J662">
            <v>0</v>
          </cell>
          <cell r="K662">
            <v>0</v>
          </cell>
        </row>
        <row r="663">
          <cell r="A663" t="str">
            <v>쿠팡</v>
          </cell>
          <cell r="C663" t="str">
            <v>7월</v>
          </cell>
          <cell r="E663" t="str">
            <v>제품</v>
          </cell>
          <cell r="G663">
            <v>1</v>
          </cell>
          <cell r="H663">
            <v>550000</v>
          </cell>
          <cell r="I663">
            <v>0</v>
          </cell>
          <cell r="J663">
            <v>0</v>
          </cell>
          <cell r="K663">
            <v>0</v>
          </cell>
        </row>
        <row r="664">
          <cell r="A664" t="str">
            <v>쿠팡</v>
          </cell>
          <cell r="C664" t="str">
            <v>7월</v>
          </cell>
          <cell r="E664" t="str">
            <v>제품</v>
          </cell>
          <cell r="G664">
            <v>1</v>
          </cell>
          <cell r="H664">
            <v>550000</v>
          </cell>
          <cell r="I664">
            <v>0</v>
          </cell>
          <cell r="J664">
            <v>0</v>
          </cell>
          <cell r="K664">
            <v>0</v>
          </cell>
        </row>
        <row r="665">
          <cell r="A665" t="str">
            <v>쿠팡</v>
          </cell>
          <cell r="C665" t="str">
            <v>7월</v>
          </cell>
          <cell r="E665" t="str">
            <v>부가제품</v>
          </cell>
          <cell r="G665">
            <v>1</v>
          </cell>
          <cell r="H665">
            <v>74000</v>
          </cell>
          <cell r="I665">
            <v>0</v>
          </cell>
          <cell r="J665">
            <v>0</v>
          </cell>
          <cell r="K665">
            <v>0</v>
          </cell>
        </row>
        <row r="666">
          <cell r="A666" t="str">
            <v>쿠팡</v>
          </cell>
          <cell r="C666" t="str">
            <v>7월</v>
          </cell>
          <cell r="E666" t="str">
            <v>제품</v>
          </cell>
          <cell r="G666">
            <v>1</v>
          </cell>
          <cell r="H666">
            <v>550000</v>
          </cell>
          <cell r="I666">
            <v>0</v>
          </cell>
          <cell r="J666">
            <v>0</v>
          </cell>
          <cell r="K666">
            <v>0</v>
          </cell>
        </row>
        <row r="667">
          <cell r="A667" t="str">
            <v>쿠팡</v>
          </cell>
          <cell r="C667" t="str">
            <v>7월</v>
          </cell>
          <cell r="E667" t="str">
            <v>제품</v>
          </cell>
          <cell r="G667">
            <v>1</v>
          </cell>
          <cell r="H667">
            <v>550000</v>
          </cell>
          <cell r="I667">
            <v>0</v>
          </cell>
          <cell r="J667">
            <v>0</v>
          </cell>
          <cell r="K667">
            <v>0</v>
          </cell>
        </row>
        <row r="668">
          <cell r="A668" t="str">
            <v>쿠팡</v>
          </cell>
          <cell r="C668" t="str">
            <v>7월</v>
          </cell>
          <cell r="E668" t="str">
            <v>제품</v>
          </cell>
          <cell r="G668">
            <v>1</v>
          </cell>
          <cell r="H668">
            <v>550000</v>
          </cell>
          <cell r="I668">
            <v>0</v>
          </cell>
          <cell r="J668">
            <v>0</v>
          </cell>
          <cell r="K668">
            <v>0</v>
          </cell>
        </row>
        <row r="669">
          <cell r="A669" t="str">
            <v>쿠팡</v>
          </cell>
          <cell r="C669" t="str">
            <v>7월</v>
          </cell>
          <cell r="E669" t="str">
            <v>배송비</v>
          </cell>
          <cell r="G669">
            <v>1</v>
          </cell>
          <cell r="H669">
            <v>9000</v>
          </cell>
          <cell r="I669">
            <v>0</v>
          </cell>
          <cell r="J669">
            <v>0</v>
          </cell>
          <cell r="K669">
            <v>0</v>
          </cell>
        </row>
        <row r="670">
          <cell r="A670" t="str">
            <v>쿠팡</v>
          </cell>
          <cell r="C670" t="str">
            <v>7월</v>
          </cell>
          <cell r="E670" t="str">
            <v>제품</v>
          </cell>
          <cell r="G670">
            <v>1</v>
          </cell>
          <cell r="H670">
            <v>550000</v>
          </cell>
          <cell r="I670">
            <v>0</v>
          </cell>
          <cell r="J670">
            <v>0</v>
          </cell>
          <cell r="K670">
            <v>0</v>
          </cell>
        </row>
        <row r="671">
          <cell r="A671" t="str">
            <v>쿠팡</v>
          </cell>
          <cell r="C671" t="str">
            <v>7월</v>
          </cell>
          <cell r="E671" t="str">
            <v>제품</v>
          </cell>
          <cell r="G671">
            <v>1</v>
          </cell>
          <cell r="H671">
            <v>550000</v>
          </cell>
          <cell r="I671">
            <v>0</v>
          </cell>
          <cell r="J671">
            <v>0</v>
          </cell>
          <cell r="K671">
            <v>0</v>
          </cell>
        </row>
        <row r="672">
          <cell r="A672" t="str">
            <v>쿠팡</v>
          </cell>
          <cell r="C672" t="str">
            <v>7월</v>
          </cell>
          <cell r="E672" t="str">
            <v>제품</v>
          </cell>
          <cell r="G672">
            <v>1</v>
          </cell>
          <cell r="H672">
            <v>483086</v>
          </cell>
          <cell r="I672">
            <v>0</v>
          </cell>
          <cell r="J672">
            <v>0</v>
          </cell>
          <cell r="K672">
            <v>66914</v>
          </cell>
        </row>
        <row r="673">
          <cell r="A673" t="str">
            <v>쿠팡</v>
          </cell>
          <cell r="C673" t="str">
            <v>7월</v>
          </cell>
          <cell r="E673" t="str">
            <v>제품</v>
          </cell>
          <cell r="G673">
            <v>1</v>
          </cell>
          <cell r="H673">
            <v>550000</v>
          </cell>
          <cell r="I673">
            <v>0</v>
          </cell>
          <cell r="J673">
            <v>0</v>
          </cell>
          <cell r="K673">
            <v>0</v>
          </cell>
        </row>
        <row r="674">
          <cell r="A674" t="str">
            <v>쿠팡</v>
          </cell>
          <cell r="C674" t="str">
            <v>7월</v>
          </cell>
          <cell r="E674" t="str">
            <v>배송비</v>
          </cell>
          <cell r="G674">
            <v>1</v>
          </cell>
          <cell r="H674">
            <v>9000</v>
          </cell>
          <cell r="I674">
            <v>0</v>
          </cell>
          <cell r="J674">
            <v>0</v>
          </cell>
          <cell r="K674">
            <v>0</v>
          </cell>
        </row>
        <row r="675">
          <cell r="A675" t="str">
            <v>현대홈쇼핑</v>
          </cell>
          <cell r="C675" t="str">
            <v>7월</v>
          </cell>
          <cell r="E675" t="str">
            <v>제품취소</v>
          </cell>
          <cell r="G675">
            <v>-1</v>
          </cell>
          <cell r="H675">
            <v>0</v>
          </cell>
          <cell r="I675">
            <v>0</v>
          </cell>
          <cell r="J675">
            <v>-550000</v>
          </cell>
          <cell r="K675">
            <v>0</v>
          </cell>
        </row>
        <row r="676">
          <cell r="A676" t="str">
            <v>현대홈쇼핑</v>
          </cell>
          <cell r="C676" t="str">
            <v>8월</v>
          </cell>
          <cell r="E676" t="str">
            <v>제품</v>
          </cell>
          <cell r="G676">
            <v>1</v>
          </cell>
          <cell r="J676">
            <v>550000</v>
          </cell>
        </row>
        <row r="677">
          <cell r="A677" t="str">
            <v>현대홈쇼핑</v>
          </cell>
          <cell r="C677" t="str">
            <v>8월</v>
          </cell>
          <cell r="E677" t="str">
            <v>부가제품</v>
          </cell>
          <cell r="G677">
            <v>1</v>
          </cell>
          <cell r="J677">
            <v>74000</v>
          </cell>
        </row>
        <row r="678">
          <cell r="A678" t="str">
            <v>옥션</v>
          </cell>
          <cell r="C678" t="str">
            <v>8월</v>
          </cell>
          <cell r="E678" t="str">
            <v>제품</v>
          </cell>
          <cell r="G678">
            <v>1</v>
          </cell>
          <cell r="H678">
            <v>540000</v>
          </cell>
          <cell r="K678">
            <v>10000</v>
          </cell>
        </row>
        <row r="679">
          <cell r="A679" t="str">
            <v>베네피아</v>
          </cell>
          <cell r="C679" t="str">
            <v>8월</v>
          </cell>
          <cell r="E679" t="str">
            <v>사이즈미정</v>
          </cell>
          <cell r="G679">
            <v>1</v>
          </cell>
          <cell r="I679">
            <v>549746</v>
          </cell>
          <cell r="K679">
            <v>254</v>
          </cell>
        </row>
        <row r="680">
          <cell r="A680" t="str">
            <v>SSG</v>
          </cell>
          <cell r="C680" t="str">
            <v>8월</v>
          </cell>
          <cell r="E680" t="str">
            <v>제품</v>
          </cell>
          <cell r="G680">
            <v>1</v>
          </cell>
          <cell r="K680">
            <v>550000</v>
          </cell>
        </row>
        <row r="681">
          <cell r="A681" t="str">
            <v>SSG</v>
          </cell>
          <cell r="C681" t="str">
            <v>8월</v>
          </cell>
          <cell r="E681" t="str">
            <v>부가제품</v>
          </cell>
          <cell r="G681">
            <v>1</v>
          </cell>
          <cell r="K681">
            <v>74000</v>
          </cell>
        </row>
        <row r="682">
          <cell r="A682" t="str">
            <v>SSG</v>
          </cell>
          <cell r="C682" t="str">
            <v>8월</v>
          </cell>
          <cell r="E682" t="str">
            <v>사이즈미정</v>
          </cell>
          <cell r="G682">
            <v>1</v>
          </cell>
          <cell r="K682">
            <v>550000</v>
          </cell>
        </row>
        <row r="683">
          <cell r="A683" t="str">
            <v>SSG</v>
          </cell>
          <cell r="C683" t="str">
            <v>8월</v>
          </cell>
          <cell r="E683" t="str">
            <v>배송비</v>
          </cell>
          <cell r="G683">
            <v>1</v>
          </cell>
          <cell r="K683">
            <v>4216</v>
          </cell>
        </row>
        <row r="684">
          <cell r="A684" t="str">
            <v>SSG</v>
          </cell>
          <cell r="C684" t="str">
            <v>8월</v>
          </cell>
          <cell r="E684" t="str">
            <v>배송비</v>
          </cell>
          <cell r="G684">
            <v>1</v>
          </cell>
          <cell r="K684">
            <v>4784</v>
          </cell>
        </row>
        <row r="685">
          <cell r="A685" t="str">
            <v>SSG</v>
          </cell>
          <cell r="C685" t="str">
            <v>8월</v>
          </cell>
          <cell r="E685" t="str">
            <v>제품</v>
          </cell>
          <cell r="G685">
            <v>1</v>
          </cell>
          <cell r="K685">
            <v>550000</v>
          </cell>
        </row>
        <row r="686">
          <cell r="A686" t="str">
            <v>카페24</v>
          </cell>
          <cell r="C686" t="str">
            <v>8월</v>
          </cell>
          <cell r="E686" t="str">
            <v>제품</v>
          </cell>
          <cell r="G686">
            <v>1</v>
          </cell>
          <cell r="H686">
            <v>550000</v>
          </cell>
        </row>
        <row r="687">
          <cell r="A687" t="str">
            <v>카페24</v>
          </cell>
          <cell r="C687" t="str">
            <v>8월</v>
          </cell>
          <cell r="E687" t="str">
            <v>제품</v>
          </cell>
          <cell r="G687">
            <v>1</v>
          </cell>
          <cell r="I687">
            <v>550000</v>
          </cell>
        </row>
        <row r="688">
          <cell r="A688" t="str">
            <v>카페24</v>
          </cell>
          <cell r="C688" t="str">
            <v>8월</v>
          </cell>
          <cell r="E688" t="str">
            <v>사이즈미정</v>
          </cell>
          <cell r="G688">
            <v>-1</v>
          </cell>
          <cell r="H688">
            <v>-550000</v>
          </cell>
        </row>
        <row r="689">
          <cell r="A689" t="str">
            <v>카페24</v>
          </cell>
          <cell r="C689" t="str">
            <v>8월</v>
          </cell>
          <cell r="E689" t="str">
            <v>부가제품</v>
          </cell>
          <cell r="G689">
            <v>-1</v>
          </cell>
          <cell r="H689">
            <v>-74000</v>
          </cell>
        </row>
        <row r="690">
          <cell r="A690" t="str">
            <v>카페24</v>
          </cell>
          <cell r="C690" t="str">
            <v>8월</v>
          </cell>
          <cell r="E690" t="str">
            <v>배송비</v>
          </cell>
          <cell r="G690">
            <v>1</v>
          </cell>
          <cell r="H690">
            <v>9000</v>
          </cell>
        </row>
        <row r="691">
          <cell r="A691" t="str">
            <v>카페24</v>
          </cell>
          <cell r="C691" t="str">
            <v>8월</v>
          </cell>
          <cell r="E691" t="str">
            <v>제품확정</v>
          </cell>
          <cell r="G691">
            <v>1</v>
          </cell>
        </row>
        <row r="692">
          <cell r="A692" t="str">
            <v>네이버</v>
          </cell>
          <cell r="C692" t="str">
            <v>8월</v>
          </cell>
          <cell r="E692" t="str">
            <v>제품</v>
          </cell>
          <cell r="G692">
            <v>1</v>
          </cell>
          <cell r="H692">
            <v>540000</v>
          </cell>
          <cell r="K692">
            <v>10000</v>
          </cell>
        </row>
        <row r="693">
          <cell r="A693" t="str">
            <v>네이버</v>
          </cell>
          <cell r="C693" t="str">
            <v>8월</v>
          </cell>
          <cell r="E693" t="str">
            <v>제품</v>
          </cell>
          <cell r="G693">
            <v>1</v>
          </cell>
          <cell r="H693">
            <v>550000</v>
          </cell>
        </row>
        <row r="694">
          <cell r="A694" t="str">
            <v>네이버</v>
          </cell>
          <cell r="C694" t="str">
            <v>8월</v>
          </cell>
          <cell r="E694" t="str">
            <v>부가제품</v>
          </cell>
          <cell r="G694">
            <v>1</v>
          </cell>
          <cell r="H694">
            <v>74000</v>
          </cell>
        </row>
        <row r="695">
          <cell r="A695" t="str">
            <v>네이버</v>
          </cell>
          <cell r="C695" t="str">
            <v>8월</v>
          </cell>
          <cell r="E695" t="str">
            <v>제품</v>
          </cell>
          <cell r="G695">
            <v>1</v>
          </cell>
          <cell r="H695">
            <v>548000</v>
          </cell>
          <cell r="K695">
            <v>2000</v>
          </cell>
        </row>
        <row r="696">
          <cell r="A696" t="str">
            <v>네이버</v>
          </cell>
          <cell r="C696" t="str">
            <v>8월</v>
          </cell>
          <cell r="E696" t="str">
            <v>제품</v>
          </cell>
          <cell r="G696">
            <v>1</v>
          </cell>
          <cell r="I696">
            <v>544722</v>
          </cell>
          <cell r="K696">
            <v>5278</v>
          </cell>
        </row>
        <row r="697">
          <cell r="A697" t="str">
            <v>네이버</v>
          </cell>
          <cell r="C697" t="str">
            <v>8월</v>
          </cell>
          <cell r="E697" t="str">
            <v>제품취소</v>
          </cell>
          <cell r="G697">
            <v>-1</v>
          </cell>
          <cell r="I697">
            <v>-544722</v>
          </cell>
          <cell r="K697">
            <v>-5278</v>
          </cell>
        </row>
        <row r="698">
          <cell r="A698" t="str">
            <v>네이버</v>
          </cell>
          <cell r="C698" t="str">
            <v>8월</v>
          </cell>
          <cell r="E698" t="str">
            <v>제품</v>
          </cell>
          <cell r="G698">
            <v>1</v>
          </cell>
          <cell r="H698">
            <v>550000</v>
          </cell>
          <cell r="K698">
            <v>0</v>
          </cell>
        </row>
        <row r="699">
          <cell r="A699" t="str">
            <v>네이버</v>
          </cell>
          <cell r="C699" t="str">
            <v>8월</v>
          </cell>
          <cell r="E699" t="str">
            <v>제품</v>
          </cell>
          <cell r="G699">
            <v>1</v>
          </cell>
          <cell r="H699">
            <v>550000</v>
          </cell>
          <cell r="K699">
            <v>0</v>
          </cell>
        </row>
        <row r="700">
          <cell r="A700" t="str">
            <v>네이버</v>
          </cell>
          <cell r="C700" t="str">
            <v>8월</v>
          </cell>
          <cell r="E700" t="str">
            <v>제품</v>
          </cell>
          <cell r="G700">
            <v>1</v>
          </cell>
          <cell r="H700">
            <v>549823</v>
          </cell>
          <cell r="K700">
            <v>178</v>
          </cell>
        </row>
        <row r="701">
          <cell r="A701" t="str">
            <v>네이버</v>
          </cell>
          <cell r="C701" t="str">
            <v>8월</v>
          </cell>
          <cell r="E701" t="str">
            <v>부가제품</v>
          </cell>
          <cell r="G701">
            <v>1</v>
          </cell>
          <cell r="H701">
            <v>73976</v>
          </cell>
          <cell r="K701">
            <v>23</v>
          </cell>
        </row>
        <row r="702">
          <cell r="A702" t="str">
            <v>네이버</v>
          </cell>
          <cell r="C702" t="str">
            <v>8월</v>
          </cell>
          <cell r="E702" t="str">
            <v>제품</v>
          </cell>
          <cell r="G702">
            <v>1</v>
          </cell>
          <cell r="H702">
            <v>550000</v>
          </cell>
          <cell r="K702">
            <v>0</v>
          </cell>
        </row>
        <row r="703">
          <cell r="A703" t="str">
            <v>네이버</v>
          </cell>
          <cell r="C703" t="str">
            <v>8월</v>
          </cell>
          <cell r="E703" t="str">
            <v>제품</v>
          </cell>
          <cell r="G703">
            <v>1</v>
          </cell>
          <cell r="H703">
            <v>533500</v>
          </cell>
          <cell r="K703">
            <v>16500</v>
          </cell>
        </row>
        <row r="704">
          <cell r="A704" t="str">
            <v>네이버</v>
          </cell>
          <cell r="C704" t="str">
            <v>8월</v>
          </cell>
          <cell r="E704" t="str">
            <v>제품</v>
          </cell>
          <cell r="G704">
            <v>1</v>
          </cell>
          <cell r="H704">
            <v>550000</v>
          </cell>
          <cell r="K704">
            <v>0</v>
          </cell>
        </row>
        <row r="705">
          <cell r="A705" t="str">
            <v>네이버</v>
          </cell>
          <cell r="C705" t="str">
            <v>8월</v>
          </cell>
          <cell r="E705" t="str">
            <v>제품</v>
          </cell>
          <cell r="G705">
            <v>1</v>
          </cell>
          <cell r="H705">
            <v>533500</v>
          </cell>
          <cell r="K705">
            <v>16500</v>
          </cell>
        </row>
        <row r="706">
          <cell r="A706" t="str">
            <v>네이버</v>
          </cell>
          <cell r="C706" t="str">
            <v>8월</v>
          </cell>
          <cell r="E706" t="str">
            <v>제품</v>
          </cell>
          <cell r="G706">
            <v>1</v>
          </cell>
          <cell r="H706">
            <v>550000</v>
          </cell>
        </row>
        <row r="707">
          <cell r="A707" t="str">
            <v>네이버</v>
          </cell>
          <cell r="C707" t="str">
            <v>8월</v>
          </cell>
          <cell r="E707" t="str">
            <v>부가제품</v>
          </cell>
          <cell r="G707">
            <v>1</v>
          </cell>
          <cell r="H707">
            <v>74000</v>
          </cell>
        </row>
        <row r="708">
          <cell r="A708" t="str">
            <v>네이버</v>
          </cell>
          <cell r="C708" t="str">
            <v>8월</v>
          </cell>
          <cell r="E708" t="str">
            <v>제품</v>
          </cell>
          <cell r="G708">
            <v>1</v>
          </cell>
          <cell r="H708">
            <v>548000</v>
          </cell>
          <cell r="K708">
            <v>2000</v>
          </cell>
        </row>
        <row r="709">
          <cell r="A709" t="str">
            <v>네이버</v>
          </cell>
          <cell r="C709" t="str">
            <v>8월</v>
          </cell>
          <cell r="E709" t="str">
            <v>제품</v>
          </cell>
          <cell r="G709">
            <v>1</v>
          </cell>
          <cell r="I709">
            <v>546000</v>
          </cell>
          <cell r="K709">
            <v>4000</v>
          </cell>
        </row>
        <row r="710">
          <cell r="A710" t="str">
            <v>네이버</v>
          </cell>
          <cell r="C710" t="str">
            <v>8월</v>
          </cell>
          <cell r="E710" t="str">
            <v>제품</v>
          </cell>
          <cell r="G710">
            <v>1</v>
          </cell>
          <cell r="I710">
            <v>550000</v>
          </cell>
        </row>
        <row r="711">
          <cell r="A711" t="str">
            <v>네이버</v>
          </cell>
          <cell r="C711" t="str">
            <v>8월</v>
          </cell>
          <cell r="E711" t="str">
            <v>제품</v>
          </cell>
          <cell r="G711">
            <v>1</v>
          </cell>
          <cell r="H711">
            <v>550000</v>
          </cell>
        </row>
        <row r="712">
          <cell r="A712" t="str">
            <v>네이버</v>
          </cell>
          <cell r="C712" t="str">
            <v>8월</v>
          </cell>
          <cell r="E712" t="str">
            <v>부가제품</v>
          </cell>
          <cell r="G712">
            <v>1</v>
          </cell>
          <cell r="H712">
            <v>74000</v>
          </cell>
        </row>
        <row r="713">
          <cell r="A713" t="str">
            <v>네이버</v>
          </cell>
          <cell r="C713" t="str">
            <v>8월</v>
          </cell>
          <cell r="E713" t="str">
            <v>사이즈미정</v>
          </cell>
          <cell r="G713">
            <v>1</v>
          </cell>
          <cell r="H713">
            <v>531090</v>
          </cell>
          <cell r="K713">
            <v>18910</v>
          </cell>
        </row>
        <row r="714">
          <cell r="A714" t="str">
            <v>네이버</v>
          </cell>
          <cell r="C714" t="str">
            <v>8월</v>
          </cell>
          <cell r="E714" t="str">
            <v>제품</v>
          </cell>
          <cell r="G714">
            <v>1</v>
          </cell>
          <cell r="H714">
            <v>549000</v>
          </cell>
          <cell r="K714">
            <v>1000</v>
          </cell>
        </row>
        <row r="715">
          <cell r="A715" t="str">
            <v>네이버</v>
          </cell>
          <cell r="C715" t="str">
            <v>8월</v>
          </cell>
          <cell r="E715" t="str">
            <v>제품</v>
          </cell>
          <cell r="G715">
            <v>1</v>
          </cell>
          <cell r="H715">
            <v>548883</v>
          </cell>
          <cell r="K715">
            <v>1117</v>
          </cell>
        </row>
        <row r="716">
          <cell r="A716" t="str">
            <v>네이버</v>
          </cell>
          <cell r="C716" t="str">
            <v>8월</v>
          </cell>
          <cell r="E716" t="str">
            <v>제품</v>
          </cell>
          <cell r="G716">
            <v>1</v>
          </cell>
          <cell r="H716">
            <v>550000</v>
          </cell>
        </row>
        <row r="717">
          <cell r="A717" t="str">
            <v>네이버</v>
          </cell>
          <cell r="C717" t="str">
            <v>8월</v>
          </cell>
          <cell r="E717" t="str">
            <v>제품</v>
          </cell>
          <cell r="G717">
            <v>1</v>
          </cell>
          <cell r="H717">
            <v>550000</v>
          </cell>
        </row>
        <row r="718">
          <cell r="A718" t="str">
            <v>네이버</v>
          </cell>
          <cell r="C718" t="str">
            <v>8월</v>
          </cell>
          <cell r="E718" t="str">
            <v>제품</v>
          </cell>
          <cell r="G718">
            <v>1</v>
          </cell>
          <cell r="H718">
            <v>550000</v>
          </cell>
        </row>
        <row r="719">
          <cell r="A719" t="str">
            <v>네이버</v>
          </cell>
          <cell r="C719" t="str">
            <v>8월</v>
          </cell>
          <cell r="E719" t="str">
            <v>제품</v>
          </cell>
          <cell r="G719">
            <v>1</v>
          </cell>
          <cell r="H719">
            <v>550000</v>
          </cell>
        </row>
        <row r="720">
          <cell r="A720" t="str">
            <v>네이버</v>
          </cell>
          <cell r="C720" t="str">
            <v>8월</v>
          </cell>
          <cell r="E720" t="str">
            <v>제품</v>
          </cell>
          <cell r="G720">
            <v>1</v>
          </cell>
          <cell r="H720">
            <v>550000</v>
          </cell>
        </row>
        <row r="721">
          <cell r="A721" t="str">
            <v>네이버</v>
          </cell>
          <cell r="C721" t="str">
            <v>8월</v>
          </cell>
          <cell r="E721" t="str">
            <v>제품</v>
          </cell>
          <cell r="G721">
            <v>1</v>
          </cell>
          <cell r="H721">
            <v>550000</v>
          </cell>
        </row>
        <row r="722">
          <cell r="A722" t="str">
            <v>네이버</v>
          </cell>
          <cell r="C722" t="str">
            <v>8월</v>
          </cell>
          <cell r="E722" t="str">
            <v>제품</v>
          </cell>
          <cell r="G722">
            <v>1</v>
          </cell>
          <cell r="H722">
            <v>550000</v>
          </cell>
        </row>
        <row r="723">
          <cell r="A723" t="str">
            <v>네이버</v>
          </cell>
          <cell r="C723" t="str">
            <v>8월</v>
          </cell>
          <cell r="E723" t="str">
            <v>제품</v>
          </cell>
          <cell r="G723">
            <v>1</v>
          </cell>
          <cell r="H723">
            <v>538104</v>
          </cell>
          <cell r="K723">
            <v>11896</v>
          </cell>
        </row>
        <row r="724">
          <cell r="A724" t="str">
            <v>네이버</v>
          </cell>
          <cell r="C724" t="str">
            <v>8월</v>
          </cell>
          <cell r="E724" t="str">
            <v>제품</v>
          </cell>
          <cell r="G724">
            <v>1</v>
          </cell>
          <cell r="J724">
            <v>550000</v>
          </cell>
        </row>
        <row r="725">
          <cell r="A725" t="str">
            <v>네이버</v>
          </cell>
          <cell r="C725" t="str">
            <v>8월</v>
          </cell>
          <cell r="E725" t="str">
            <v>제품</v>
          </cell>
          <cell r="G725">
            <v>1</v>
          </cell>
          <cell r="H725">
            <v>550000</v>
          </cell>
        </row>
        <row r="726">
          <cell r="A726" t="str">
            <v>네이버</v>
          </cell>
          <cell r="C726" t="str">
            <v>8월</v>
          </cell>
          <cell r="E726" t="str">
            <v>제품</v>
          </cell>
          <cell r="G726">
            <v>1</v>
          </cell>
          <cell r="H726">
            <v>550000</v>
          </cell>
        </row>
        <row r="727">
          <cell r="A727" t="str">
            <v>네이버</v>
          </cell>
          <cell r="C727" t="str">
            <v>8월</v>
          </cell>
          <cell r="E727" t="str">
            <v>부가제품</v>
          </cell>
          <cell r="G727">
            <v>1</v>
          </cell>
          <cell r="H727">
            <v>74000</v>
          </cell>
        </row>
        <row r="728">
          <cell r="A728" t="str">
            <v>네이버</v>
          </cell>
          <cell r="C728" t="str">
            <v>8월</v>
          </cell>
          <cell r="E728" t="str">
            <v>제품</v>
          </cell>
          <cell r="G728">
            <v>1</v>
          </cell>
          <cell r="H728">
            <v>450000</v>
          </cell>
          <cell r="K728">
            <v>100000</v>
          </cell>
        </row>
        <row r="729">
          <cell r="A729" t="str">
            <v>네이버</v>
          </cell>
          <cell r="C729" t="str">
            <v>8월</v>
          </cell>
          <cell r="E729" t="str">
            <v>제품</v>
          </cell>
          <cell r="G729">
            <v>1</v>
          </cell>
          <cell r="I729">
            <v>550000</v>
          </cell>
        </row>
        <row r="730">
          <cell r="A730" t="str">
            <v>네이버</v>
          </cell>
          <cell r="C730" t="str">
            <v>8월</v>
          </cell>
          <cell r="E730" t="str">
            <v>부가제품</v>
          </cell>
          <cell r="G730">
            <v>1</v>
          </cell>
          <cell r="I730">
            <v>74000</v>
          </cell>
        </row>
        <row r="731">
          <cell r="A731" t="str">
            <v>네이버</v>
          </cell>
          <cell r="C731" t="str">
            <v>8월</v>
          </cell>
          <cell r="E731" t="str">
            <v>제품</v>
          </cell>
          <cell r="G731">
            <v>1</v>
          </cell>
          <cell r="I731">
            <v>526590</v>
          </cell>
          <cell r="K731">
            <v>23410</v>
          </cell>
        </row>
        <row r="732">
          <cell r="A732" t="str">
            <v>네이버</v>
          </cell>
          <cell r="C732" t="str">
            <v>8월</v>
          </cell>
          <cell r="E732" t="str">
            <v>배송비</v>
          </cell>
          <cell r="G732">
            <v>1</v>
          </cell>
          <cell r="H732">
            <v>9000</v>
          </cell>
        </row>
        <row r="733">
          <cell r="A733" t="str">
            <v>네이버</v>
          </cell>
          <cell r="C733" t="str">
            <v>8월</v>
          </cell>
          <cell r="E733" t="str">
            <v>사이즈미정</v>
          </cell>
          <cell r="G733">
            <v>1</v>
          </cell>
          <cell r="H733">
            <v>534341</v>
          </cell>
          <cell r="K733">
            <v>15659</v>
          </cell>
        </row>
        <row r="734">
          <cell r="A734" t="str">
            <v>네이버</v>
          </cell>
          <cell r="C734" t="str">
            <v>8월</v>
          </cell>
          <cell r="E734" t="str">
            <v>사이즈미정</v>
          </cell>
          <cell r="G734">
            <v>1</v>
          </cell>
          <cell r="H734">
            <v>550000</v>
          </cell>
        </row>
        <row r="735">
          <cell r="A735" t="str">
            <v>네이버</v>
          </cell>
          <cell r="C735" t="str">
            <v>8월</v>
          </cell>
          <cell r="E735" t="str">
            <v>제품</v>
          </cell>
          <cell r="G735">
            <v>1</v>
          </cell>
          <cell r="I735">
            <v>549227</v>
          </cell>
          <cell r="K735">
            <v>773</v>
          </cell>
        </row>
        <row r="736">
          <cell r="A736" t="str">
            <v>네이버</v>
          </cell>
          <cell r="C736" t="str">
            <v>8월</v>
          </cell>
          <cell r="E736" t="str">
            <v>제품</v>
          </cell>
          <cell r="G736">
            <v>1</v>
          </cell>
          <cell r="I736">
            <v>548978</v>
          </cell>
          <cell r="K736">
            <v>1022</v>
          </cell>
        </row>
        <row r="737">
          <cell r="A737" t="str">
            <v>네이버</v>
          </cell>
          <cell r="C737" t="str">
            <v>8월</v>
          </cell>
          <cell r="E737" t="str">
            <v>배송비</v>
          </cell>
          <cell r="G737">
            <v>1</v>
          </cell>
          <cell r="H737">
            <v>9000</v>
          </cell>
        </row>
        <row r="738">
          <cell r="A738" t="str">
            <v>네이버</v>
          </cell>
          <cell r="C738" t="str">
            <v>8월</v>
          </cell>
          <cell r="E738" t="str">
            <v>배송비</v>
          </cell>
          <cell r="G738">
            <v>1</v>
          </cell>
          <cell r="I738">
            <v>9000</v>
          </cell>
        </row>
        <row r="739">
          <cell r="A739" t="str">
            <v>네이버</v>
          </cell>
          <cell r="C739" t="str">
            <v>8월</v>
          </cell>
          <cell r="E739" t="str">
            <v>제품</v>
          </cell>
          <cell r="G739">
            <v>1</v>
          </cell>
          <cell r="H739">
            <v>550000</v>
          </cell>
        </row>
        <row r="740">
          <cell r="A740" t="str">
            <v>네이버</v>
          </cell>
          <cell r="C740" t="str">
            <v>8월</v>
          </cell>
          <cell r="E740" t="str">
            <v>배송비</v>
          </cell>
          <cell r="G740">
            <v>1</v>
          </cell>
          <cell r="H740">
            <v>9000</v>
          </cell>
        </row>
        <row r="741">
          <cell r="A741" t="str">
            <v>네이버</v>
          </cell>
          <cell r="C741" t="str">
            <v>8월</v>
          </cell>
          <cell r="E741" t="str">
            <v>제품</v>
          </cell>
          <cell r="G741">
            <v>1</v>
          </cell>
          <cell r="I741">
            <v>550000</v>
          </cell>
        </row>
        <row r="742">
          <cell r="A742" t="str">
            <v>네이버</v>
          </cell>
          <cell r="C742" t="str">
            <v>8월</v>
          </cell>
          <cell r="E742" t="str">
            <v>제품</v>
          </cell>
          <cell r="G742">
            <v>1</v>
          </cell>
          <cell r="H742">
            <v>550000</v>
          </cell>
        </row>
        <row r="743">
          <cell r="A743" t="str">
            <v>네이버</v>
          </cell>
          <cell r="C743" t="str">
            <v>8월</v>
          </cell>
          <cell r="E743" t="str">
            <v>제품</v>
          </cell>
          <cell r="G743">
            <v>1</v>
          </cell>
          <cell r="I743">
            <v>550000</v>
          </cell>
        </row>
        <row r="744">
          <cell r="A744" t="str">
            <v>네이버</v>
          </cell>
          <cell r="C744" t="str">
            <v>8월</v>
          </cell>
          <cell r="E744" t="str">
            <v>제품</v>
          </cell>
          <cell r="G744">
            <v>1</v>
          </cell>
          <cell r="H744">
            <v>550000</v>
          </cell>
        </row>
        <row r="745">
          <cell r="A745" t="str">
            <v>네이버</v>
          </cell>
          <cell r="C745" t="str">
            <v>8월</v>
          </cell>
          <cell r="E745" t="str">
            <v>배송비</v>
          </cell>
          <cell r="G745">
            <v>1</v>
          </cell>
          <cell r="H745">
            <v>9000</v>
          </cell>
        </row>
        <row r="746">
          <cell r="A746" t="str">
            <v>네이버</v>
          </cell>
          <cell r="C746" t="str">
            <v>8월</v>
          </cell>
          <cell r="E746" t="str">
            <v>배송비</v>
          </cell>
          <cell r="G746">
            <v>1</v>
          </cell>
          <cell r="H746">
            <v>9000</v>
          </cell>
        </row>
        <row r="747">
          <cell r="A747" t="str">
            <v>네이버</v>
          </cell>
          <cell r="C747" t="str">
            <v>8월</v>
          </cell>
          <cell r="E747" t="str">
            <v>배송비</v>
          </cell>
          <cell r="G747">
            <v>1</v>
          </cell>
          <cell r="H747">
            <v>8134</v>
          </cell>
          <cell r="K747">
            <v>866</v>
          </cell>
        </row>
        <row r="748">
          <cell r="A748" t="str">
            <v>네이버</v>
          </cell>
          <cell r="C748" t="str">
            <v>8월</v>
          </cell>
          <cell r="E748" t="str">
            <v>제품</v>
          </cell>
          <cell r="G748">
            <v>1</v>
          </cell>
          <cell r="H748">
            <v>550000</v>
          </cell>
        </row>
        <row r="749">
          <cell r="A749" t="str">
            <v>네이버</v>
          </cell>
          <cell r="C749" t="str">
            <v>8월</v>
          </cell>
          <cell r="E749" t="str">
            <v>제품</v>
          </cell>
          <cell r="G749">
            <v>1</v>
          </cell>
          <cell r="H749">
            <v>550000</v>
          </cell>
        </row>
        <row r="750">
          <cell r="A750" t="str">
            <v>네이버</v>
          </cell>
          <cell r="C750" t="str">
            <v>8월</v>
          </cell>
          <cell r="E750" t="str">
            <v>배송비</v>
          </cell>
          <cell r="G750">
            <v>1</v>
          </cell>
          <cell r="H750">
            <v>9000</v>
          </cell>
        </row>
        <row r="751">
          <cell r="A751" t="str">
            <v>쿠팡</v>
          </cell>
          <cell r="C751" t="str">
            <v>8월</v>
          </cell>
          <cell r="E751" t="str">
            <v>제품</v>
          </cell>
          <cell r="G751">
            <v>1</v>
          </cell>
          <cell r="H751">
            <v>550000</v>
          </cell>
        </row>
        <row r="752">
          <cell r="A752" t="str">
            <v>쿠팡</v>
          </cell>
          <cell r="C752" t="str">
            <v>8월</v>
          </cell>
          <cell r="E752" t="str">
            <v>제품</v>
          </cell>
          <cell r="G752">
            <v>1</v>
          </cell>
          <cell r="H752">
            <v>550000</v>
          </cell>
        </row>
        <row r="753">
          <cell r="A753" t="str">
            <v>쿠팡</v>
          </cell>
          <cell r="C753" t="str">
            <v>8월</v>
          </cell>
          <cell r="E753" t="str">
            <v>제품</v>
          </cell>
          <cell r="G753">
            <v>1</v>
          </cell>
          <cell r="I753">
            <v>550000</v>
          </cell>
        </row>
        <row r="754">
          <cell r="A754" t="str">
            <v>쿠팡</v>
          </cell>
          <cell r="C754" t="str">
            <v>8월</v>
          </cell>
          <cell r="E754" t="str">
            <v>제품</v>
          </cell>
          <cell r="G754">
            <v>1</v>
          </cell>
          <cell r="H754">
            <v>550000</v>
          </cell>
        </row>
        <row r="755">
          <cell r="A755" t="str">
            <v>쿠팡</v>
          </cell>
          <cell r="C755" t="str">
            <v>8월</v>
          </cell>
          <cell r="E755" t="str">
            <v>제품</v>
          </cell>
          <cell r="G755">
            <v>1</v>
          </cell>
          <cell r="H755">
            <v>537000</v>
          </cell>
          <cell r="K755">
            <v>13000</v>
          </cell>
        </row>
        <row r="756">
          <cell r="A756" t="str">
            <v>쿠팡</v>
          </cell>
          <cell r="C756" t="str">
            <v>8월</v>
          </cell>
          <cell r="E756" t="str">
            <v>제품</v>
          </cell>
          <cell r="G756">
            <v>1</v>
          </cell>
          <cell r="H756">
            <v>547000</v>
          </cell>
          <cell r="K756">
            <v>3000</v>
          </cell>
        </row>
        <row r="757">
          <cell r="A757" t="str">
            <v>쿠팡</v>
          </cell>
          <cell r="C757" t="str">
            <v>8월</v>
          </cell>
          <cell r="E757" t="str">
            <v>제품</v>
          </cell>
          <cell r="G757">
            <v>1</v>
          </cell>
          <cell r="H757">
            <v>550000</v>
          </cell>
        </row>
        <row r="758">
          <cell r="A758" t="str">
            <v>쿠팡</v>
          </cell>
          <cell r="C758" t="str">
            <v>8월</v>
          </cell>
          <cell r="E758" t="str">
            <v>제품</v>
          </cell>
          <cell r="G758">
            <v>1</v>
          </cell>
          <cell r="H758">
            <v>550000</v>
          </cell>
        </row>
        <row r="759">
          <cell r="A759" t="str">
            <v>쿠팡</v>
          </cell>
          <cell r="C759" t="str">
            <v>8월</v>
          </cell>
          <cell r="E759" t="str">
            <v>제품</v>
          </cell>
          <cell r="G759">
            <v>1</v>
          </cell>
          <cell r="H759">
            <v>550000</v>
          </cell>
        </row>
        <row r="760">
          <cell r="A760" t="str">
            <v>쿠팡</v>
          </cell>
          <cell r="C760" t="str">
            <v>8월</v>
          </cell>
          <cell r="E760" t="str">
            <v>제품</v>
          </cell>
          <cell r="G760">
            <v>1</v>
          </cell>
          <cell r="H760">
            <v>550000</v>
          </cell>
        </row>
        <row r="761">
          <cell r="A761" t="str">
            <v>쿠팡</v>
          </cell>
          <cell r="C761" t="str">
            <v>8월</v>
          </cell>
          <cell r="E761" t="str">
            <v>제품</v>
          </cell>
          <cell r="G761">
            <v>1</v>
          </cell>
          <cell r="H761">
            <v>550000</v>
          </cell>
        </row>
        <row r="762">
          <cell r="A762" t="str">
            <v>쿠팡</v>
          </cell>
          <cell r="C762" t="str">
            <v>8월</v>
          </cell>
          <cell r="E762" t="str">
            <v>제품</v>
          </cell>
          <cell r="G762">
            <v>1</v>
          </cell>
          <cell r="H762">
            <v>544000</v>
          </cell>
          <cell r="K762">
            <v>6000</v>
          </cell>
        </row>
        <row r="763">
          <cell r="A763" t="str">
            <v>쿠팡</v>
          </cell>
          <cell r="C763" t="str">
            <v>8월</v>
          </cell>
          <cell r="E763" t="str">
            <v>제품확정</v>
          </cell>
          <cell r="G763">
            <v>1</v>
          </cell>
        </row>
      </sheetData>
      <sheetData sheetId="1"/>
      <sheetData sheetId="2"/>
      <sheetData sheetId="3">
        <row r="5">
          <cell r="D5" t="str">
            <v>네이버</v>
          </cell>
          <cell r="R5" t="str">
            <v>카페24</v>
          </cell>
        </row>
        <row r="6">
          <cell r="B6" t="str">
            <v>부가제품</v>
          </cell>
        </row>
        <row r="7">
          <cell r="B7" t="str">
            <v>배송비</v>
          </cell>
        </row>
        <row r="8">
          <cell r="B8" t="str">
            <v>제품확정</v>
          </cell>
        </row>
        <row r="10">
          <cell r="B10" t="str">
            <v>제품</v>
          </cell>
        </row>
        <row r="12">
          <cell r="B12" t="str">
            <v>제품취소</v>
          </cell>
        </row>
        <row r="20">
          <cell r="K20" t="str">
            <v>SSG</v>
          </cell>
        </row>
        <row r="21">
          <cell r="B21" t="str">
            <v>부가제품</v>
          </cell>
        </row>
        <row r="22">
          <cell r="B22" t="str">
            <v>배송비</v>
          </cell>
        </row>
        <row r="23">
          <cell r="B23" t="str">
            <v>제품확정</v>
          </cell>
        </row>
        <row r="35">
          <cell r="D35" t="str">
            <v>옥션</v>
          </cell>
          <cell r="R35" t="str">
            <v>현대홈쇼핑</v>
          </cell>
        </row>
        <row r="36">
          <cell r="B36" t="str">
            <v>부가제품</v>
          </cell>
        </row>
        <row r="37">
          <cell r="B37" t="str">
            <v>배송비</v>
          </cell>
        </row>
        <row r="38">
          <cell r="B38" t="str">
            <v>제품확정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A79DB-0130-4C83-B092-24E0D0FC98A6}">
  <dimension ref="A2:AB47"/>
  <sheetViews>
    <sheetView tabSelected="1" workbookViewId="0">
      <selection activeCell="C2" sqref="C2"/>
    </sheetView>
  </sheetViews>
  <sheetFormatPr defaultColWidth="8.5" defaultRowHeight="17"/>
  <cols>
    <col min="1" max="1" width="1.5" style="1" customWidth="1"/>
    <col min="2" max="2" width="11.1640625" style="1" customWidth="1"/>
    <col min="3" max="3" width="4.6640625" style="1" customWidth="1"/>
    <col min="6" max="6" width="11.58203125" style="1" customWidth="1"/>
    <col min="7" max="8" width="10" style="1" customWidth="1"/>
    <col min="9" max="9" width="10" style="7" customWidth="1"/>
    <col min="10" max="10" width="2.9140625" style="1" customWidth="1"/>
    <col min="13" max="13" width="11.58203125" style="1" customWidth="1"/>
    <col min="14" max="16" width="9.6640625" style="1" customWidth="1"/>
    <col min="17" max="17" width="2.9140625" style="1" customWidth="1"/>
    <col min="20" max="20" width="11.58203125" style="1" customWidth="1"/>
    <col min="21" max="21" width="9.58203125" style="1" customWidth="1"/>
    <col min="22" max="23" width="10.08203125" style="1" customWidth="1"/>
    <col min="24" max="24" width="9.33203125" style="8" customWidth="1"/>
    <col min="25" max="25" width="9.9140625" style="1" customWidth="1"/>
    <col min="26" max="26" width="12.4140625" style="1" customWidth="1"/>
    <col min="27" max="27" width="10.9140625" style="1" customWidth="1"/>
    <col min="28" max="28" width="11.5" style="1" customWidth="1"/>
  </cols>
  <sheetData>
    <row r="2" spans="1:28" ht="17.25" customHeight="1">
      <c r="B2" s="4" t="s">
        <v>22</v>
      </c>
      <c r="C2" s="5" t="s">
        <v>23</v>
      </c>
      <c r="D2" s="6"/>
    </row>
    <row r="3" spans="1:28" ht="17.25" customHeight="1">
      <c r="B3" s="3">
        <v>500000</v>
      </c>
    </row>
    <row r="4" spans="1:28" ht="17.25" customHeight="1" thickBot="1">
      <c r="B4" s="9" t="s">
        <v>1</v>
      </c>
      <c r="D4" s="10" t="s">
        <v>0</v>
      </c>
      <c r="E4" s="10" t="s">
        <v>24</v>
      </c>
      <c r="F4" s="10" t="s">
        <v>25</v>
      </c>
      <c r="G4" s="11" t="s">
        <v>26</v>
      </c>
      <c r="H4" s="12" t="s">
        <v>27</v>
      </c>
      <c r="I4" s="13" t="s">
        <v>28</v>
      </c>
      <c r="K4" s="10" t="s">
        <v>0</v>
      </c>
      <c r="L4" s="10" t="s">
        <v>24</v>
      </c>
      <c r="M4" s="10" t="s">
        <v>25</v>
      </c>
      <c r="N4" s="11" t="s">
        <v>26</v>
      </c>
      <c r="O4" s="12" t="s">
        <v>27</v>
      </c>
      <c r="P4" s="13" t="s">
        <v>28</v>
      </c>
      <c r="R4" s="10" t="s">
        <v>0</v>
      </c>
      <c r="S4" s="10" t="s">
        <v>24</v>
      </c>
      <c r="T4" s="10" t="s">
        <v>25</v>
      </c>
      <c r="U4" s="11" t="s">
        <v>26</v>
      </c>
      <c r="V4" s="12" t="s">
        <v>27</v>
      </c>
      <c r="W4" s="13" t="s">
        <v>28</v>
      </c>
      <c r="Y4" s="14" t="s">
        <v>0</v>
      </c>
      <c r="Z4" s="15" t="s">
        <v>29</v>
      </c>
      <c r="AA4" s="15"/>
      <c r="AB4" s="15"/>
    </row>
    <row r="5" spans="1:28" ht="17.25" customHeight="1" thickBot="1">
      <c r="A5" s="16"/>
      <c r="B5" s="17"/>
      <c r="D5" s="18" t="s">
        <v>8</v>
      </c>
      <c r="E5" s="19" t="s">
        <v>30</v>
      </c>
      <c r="F5" s="20" t="s">
        <v>31</v>
      </c>
      <c r="G5" s="21">
        <f>SUM(I13:I16)</f>
        <v>24166000</v>
      </c>
      <c r="H5" s="22"/>
      <c r="I5" s="23"/>
      <c r="K5" s="18" t="s">
        <v>15</v>
      </c>
      <c r="L5" s="19" t="s">
        <v>30</v>
      </c>
      <c r="M5" s="20" t="s">
        <v>31</v>
      </c>
      <c r="N5" s="21">
        <f>SUM(P13:P16)</f>
        <v>6600000</v>
      </c>
      <c r="O5" s="22"/>
      <c r="P5" s="23"/>
      <c r="R5" s="18" t="s">
        <v>14</v>
      </c>
      <c r="S5" s="19" t="s">
        <v>30</v>
      </c>
      <c r="T5" s="20" t="s">
        <v>31</v>
      </c>
      <c r="U5" s="21">
        <f>SUM(W13:W16)</f>
        <v>485000</v>
      </c>
      <c r="V5" s="22"/>
      <c r="W5" s="23"/>
      <c r="Y5" s="14"/>
      <c r="Z5" s="24" t="s">
        <v>32</v>
      </c>
      <c r="AA5" s="25" t="s">
        <v>33</v>
      </c>
      <c r="AB5" s="25" t="s">
        <v>31</v>
      </c>
    </row>
    <row r="6" spans="1:28" ht="17.25" customHeight="1">
      <c r="A6" s="16"/>
      <c r="B6" s="26" t="s">
        <v>9</v>
      </c>
      <c r="D6" s="27"/>
      <c r="E6" s="19" t="s">
        <v>30</v>
      </c>
      <c r="F6" s="20" t="s">
        <v>10</v>
      </c>
      <c r="G6" s="21">
        <f>I6/1.1</f>
        <v>-403635.45454545453</v>
      </c>
      <c r="H6" s="22"/>
      <c r="I6" s="23">
        <f>-SUMIFS('[1]통합 판매내역'!H:H,'[1]통합 판매내역'!E:E,[1]회계!B6,'[1]통합 판매내역'!A:A,[1]회계!D5,'[1]통합 판매내역'!C:C,$C$2)-SUMIFS('[1]통합 판매내역'!I:I,'[1]통합 판매내역'!E:E,[1]회계!B6,'[1]통합 판매내역'!A:A,[1]회계!D5,'[1]통합 판매내역'!C:C,$C$2)-SUMIFS('[1]통합 판매내역'!J:J,'[1]통합 판매내역'!E:E,[1]회계!B6,'[1]통합 판매내역'!A:A,[1]회계!D5,'[1]통합 판매내역'!C:C,$C$2)-SUMIFS('[1]통합 판매내역'!K:K,'[1]통합 판매내역'!E:E,[1]회계!B6,'[1]통합 판매내역'!A:A,[1]회계!D5,'[1]통합 판매내역'!C:C,$C$2)</f>
        <v>-443999</v>
      </c>
      <c r="K6" s="27"/>
      <c r="L6" s="19" t="s">
        <v>30</v>
      </c>
      <c r="M6" s="20" t="s">
        <v>10</v>
      </c>
      <c r="N6" s="21">
        <f>P6/1.1</f>
        <v>0</v>
      </c>
      <c r="O6" s="22"/>
      <c r="P6" s="23">
        <f>-SUMIFS('[1]통합 판매내역'!H:H,'[1]통합 판매내역'!E:E,[1]회계!B6,'[1]통합 판매내역'!A:A,K5,'[1]통합 판매내역'!C:C,$C$2)-SUMIFS('[1]통합 판매내역'!I:I,'[1]통합 판매내역'!E:E,[1]회계!B6,'[1]통합 판매내역'!A:A,K5,'[1]통합 판매내역'!C:C,$C$2)-SUMIFS('[1]통합 판매내역'!J:J,'[1]통합 판매내역'!E:E,[1]회계!B6,'[1]통합 판매내역'!A:A,K5,'[1]통합 판매내역'!C:C,$C$2)-SUMIFS('[1]통합 판매내역'!K:K,'[1]통합 판매내역'!E:E,[1]회계!B6,'[1]통합 판매내역'!A:A,K5,'[1]통합 판매내역'!C:C,$C$2)</f>
        <v>0</v>
      </c>
      <c r="R6" s="27"/>
      <c r="S6" s="19" t="s">
        <v>30</v>
      </c>
      <c r="T6" s="20" t="s">
        <v>10</v>
      </c>
      <c r="U6" s="21">
        <f>W6/1.1</f>
        <v>67272.727272727265</v>
      </c>
      <c r="V6" s="22"/>
      <c r="W6" s="23">
        <f>-SUMIFS('[1]통합 판매내역'!H:H,'[1]통합 판매내역'!E:E,[1]회계!B21,'[1]통합 판매내역'!A:A,[1]회계!R5,'[1]통합 판매내역'!C:C,$C$2)-SUMIFS('[1]통합 판매내역'!I:I,'[1]통합 판매내역'!E:E,[1]회계!B21,'[1]통합 판매내역'!A:A,[1]회계!R5,'[1]통합 판매내역'!C:C,$C$2)-SUMIFS('[1]통합 판매내역'!J:J,'[1]통합 판매내역'!E:E,[1]회계!B21,'[1]통합 판매내역'!A:A,[1]회계!R5,'[1]통합 판매내역'!C:C,$C$2)-SUMIFS('[1]통합 판매내역'!K:K,'[1]통합 판매내역'!E:E,[1]회계!B21,'[1]통합 판매내역'!A:A,[1]회계!R5,'[1]통합 판매내역'!C:C,$C$2)</f>
        <v>74000</v>
      </c>
      <c r="Y6" s="28" t="s">
        <v>8</v>
      </c>
      <c r="Z6" s="29">
        <v>9111888</v>
      </c>
      <c r="AA6" s="29">
        <v>3177367</v>
      </c>
      <c r="AB6" s="29"/>
    </row>
    <row r="7" spans="1:28" ht="17.25" customHeight="1">
      <c r="A7" s="16"/>
      <c r="B7" s="26" t="s">
        <v>16</v>
      </c>
      <c r="D7" s="27"/>
      <c r="E7" s="19" t="s">
        <v>30</v>
      </c>
      <c r="F7" s="20" t="s">
        <v>16</v>
      </c>
      <c r="G7" s="21">
        <f>I7/1.1</f>
        <v>-65454.545454545449</v>
      </c>
      <c r="H7" s="22"/>
      <c r="I7" s="23">
        <f>-SUMIFS('[1]통합 판매내역'!H:H,'[1]통합 판매내역'!E:E,[1]회계!B7,'[1]통합 판매내역'!A:A,D5,'[1]통합 판매내역'!C:C,$C$2)-SUMIFS('[1]통합 판매내역'!I:I,'[1]통합 판매내역'!E:E,[1]회계!B7,'[1]통합 판매내역'!A:A,D5,'[1]통합 판매내역'!C:C,$C$2)-SUMIFS('[1]통합 판매내역'!J:J,'[1]통합 판매내역'!E:E,[1]회계!B7,'[1]통합 판매내역'!A:A,D5,'[1]통합 판매내역'!C:C,$C$2)-SUMIFS('[1]통합 판매내역'!K:K,'[1]통합 판매내역'!E:E,[1]회계!B7,'[1]통합 판매내역'!A:A,D5,'[1]통합 판매내역'!C:C,$C$2)</f>
        <v>-72000</v>
      </c>
      <c r="K7" s="27"/>
      <c r="L7" s="19" t="s">
        <v>30</v>
      </c>
      <c r="M7" s="20" t="s">
        <v>16</v>
      </c>
      <c r="N7" s="21">
        <f>P7/1.1</f>
        <v>0</v>
      </c>
      <c r="O7" s="22"/>
      <c r="P7" s="23">
        <f>-SUMIFS('[1]통합 판매내역'!H:H,'[1]통합 판매내역'!E:E,[1]회계!B7,'[1]통합 판매내역'!A:A,K5,'[1]통합 판매내역'!C:C,$C$2)-SUMIFS('[1]통합 판매내역'!I:I,'[1]통합 판매내역'!E:E,[1]회계!B7,'[1]통합 판매내역'!A:A,K5,'[1]통합 판매내역'!C:C,$C$2)-SUMIFS('[1]통합 판매내역'!J:J,'[1]통합 판매내역'!E:E,[1]회계!B7,'[1]통합 판매내역'!A:A,K5,'[1]통합 판매내역'!C:C,$C$2)-SUMIFS('[1]통합 판매내역'!K:K,'[1]통합 판매내역'!E:E,[1]회계!B7,'[1]통합 판매내역'!A:A,K5,'[1]통합 판매내역'!C:C,$C$2)</f>
        <v>0</v>
      </c>
      <c r="R7" s="27"/>
      <c r="S7" s="19" t="s">
        <v>30</v>
      </c>
      <c r="T7" s="20" t="s">
        <v>16</v>
      </c>
      <c r="U7" s="21">
        <f>W7/1.1</f>
        <v>-8181.8181818181811</v>
      </c>
      <c r="V7" s="22"/>
      <c r="W7" s="23">
        <f>-SUMIFS('[1]통합 판매내역'!H:H,'[1]통합 판매내역'!E:E,[1]회계!B22,'[1]통합 판매내역'!A:A,R5,'[1]통합 판매내역'!C:C,$C$2)-SUMIFS('[1]통합 판매내역'!I:I,'[1]통합 판매내역'!E:E,[1]회계!B22,'[1]통합 판매내역'!A:A,R5,'[1]통합 판매내역'!C:C,$C$2)-SUMIFS('[1]통합 판매내역'!J:J,'[1]통합 판매내역'!E:E,[1]회계!B22,'[1]통합 판매내역'!A:A,R5,'[1]통합 판매내역'!C:C,$C$2)-SUMIFS('[1]통합 판매내역'!K:K,'[1]통합 판매내역'!E:E,[1]회계!B22,'[1]통합 판매내역'!A:A,R5,'[1]통합 판매내역'!C:C,$C$2)</f>
        <v>-9000</v>
      </c>
      <c r="Y7" s="30" t="s">
        <v>15</v>
      </c>
      <c r="Z7" s="31">
        <v>6966567</v>
      </c>
      <c r="AA7" s="31">
        <v>3641434</v>
      </c>
      <c r="AB7" s="31">
        <v>10758001</v>
      </c>
    </row>
    <row r="8" spans="1:28" ht="17.25" customHeight="1">
      <c r="A8" s="16"/>
      <c r="B8" s="26" t="s">
        <v>19</v>
      </c>
      <c r="D8" s="27"/>
      <c r="E8" s="19" t="s">
        <v>30</v>
      </c>
      <c r="F8" s="20" t="s">
        <v>32</v>
      </c>
      <c r="G8" s="21">
        <f>500000*SUMIFS('[1]통합 판매내역'!G:G,'[1]통합 판매내역'!E:E,[1]회계!B8,'[1]통합 판매내역'!A:A,[1]회계!D5,'[1]통합 판매내역'!C:C,$C$2)</f>
        <v>0</v>
      </c>
      <c r="H8" s="22"/>
      <c r="I8" s="23"/>
      <c r="K8" s="27"/>
      <c r="L8" s="19" t="s">
        <v>30</v>
      </c>
      <c r="M8" s="20" t="s">
        <v>32</v>
      </c>
      <c r="N8" s="21">
        <f>500000*SUMIFS('[1]통합 판매내역'!G:G,'[1]통합 판매내역'!E:E,[1]회계!B8,'[1]통합 판매내역'!A:A,K5,'[1]통합 판매내역'!C:C,$C$2)</f>
        <v>500000</v>
      </c>
      <c r="O8" s="22"/>
      <c r="P8" s="23"/>
      <c r="R8" s="27"/>
      <c r="S8" s="19" t="s">
        <v>30</v>
      </c>
      <c r="T8" s="20" t="s">
        <v>32</v>
      </c>
      <c r="U8" s="21">
        <f>500000*SUMIFS('[1]통합 판매내역'!G:G,'[1]통합 판매내역'!E:E,[1]회계!B23,'[1]통합 판매내역'!A:A,[1]회계!R5,'[1]통합 판매내역'!C:C,$C$2)</f>
        <v>500000</v>
      </c>
      <c r="V8" s="22"/>
      <c r="W8" s="23"/>
      <c r="X8" s="8" t="s">
        <v>34</v>
      </c>
      <c r="Y8" s="30" t="s">
        <v>14</v>
      </c>
      <c r="Z8" s="31"/>
      <c r="AA8" s="31">
        <v>231804</v>
      </c>
      <c r="AB8" s="31"/>
    </row>
    <row r="9" spans="1:28" ht="17.25" customHeight="1">
      <c r="A9" s="16"/>
      <c r="B9" s="26" t="s">
        <v>12</v>
      </c>
      <c r="D9" s="27"/>
      <c r="E9" s="19" t="s">
        <v>30</v>
      </c>
      <c r="F9" s="20" t="s">
        <v>32</v>
      </c>
      <c r="G9" s="21">
        <f>I9/1.1</f>
        <v>-1499999.9999999998</v>
      </c>
      <c r="H9" s="22"/>
      <c r="I9" s="23">
        <f>-SUMIFS('[1]통합 판매내역'!H:H,'[1]통합 판매내역'!E:E,B9,'[1]통합 판매내역'!A:A,D5,'[1]통합 판매내역'!C:C,$C$2)-SUMIFS('[1]통합 판매내역'!I:I,'[1]통합 판매내역'!E:E,B9,'[1]통합 판매내역'!A:A,D5,'[1]통합 판매내역'!C:C,$C$2)-SUMIFS('[1]통합 판매내역'!J:J,'[1]통합 판매내역'!E:E,B9,'[1]통합 판매내역'!A:A,D5,'[1]통합 판매내역'!C:C,$C$2)-SUMIFS('[1]통합 판매내역'!K:K,'[1]통합 판매내역'!E:E,B9,'[1]통합 판매내역'!A:A,D5,'[1]통합 판매내역'!C:C,$C$2)</f>
        <v>-1650000</v>
      </c>
      <c r="K9" s="27"/>
      <c r="L9" s="19" t="s">
        <v>30</v>
      </c>
      <c r="M9" s="20" t="s">
        <v>32</v>
      </c>
      <c r="N9" s="21">
        <f>P9/1.1</f>
        <v>0</v>
      </c>
      <c r="O9" s="22"/>
      <c r="P9" s="23">
        <f>-SUMIFS('[1]통합 판매내역'!H:H,'[1]통합 판매내역'!E:E,B9,'[1]통합 판매내역'!A:A,K5,'[1]통합 판매내역'!C:C,$C$2)-SUMIFS('[1]통합 판매내역'!I:I,'[1]통합 판매내역'!E:E,B9,'[1]통합 판매내역'!A:A,K5,'[1]통합 판매내역'!C:C,$C$2)-SUMIFS('[1]통합 판매내역'!J:J,'[1]통합 판매내역'!E:E,B9,'[1]통합 판매내역'!A:A,K5,'[1]통합 판매내역'!C:C,$C$2)-SUMIFS('[1]통합 판매내역'!K:K,'[1]통합 판매내역'!E:E,B9,'[1]통합 판매내역'!A:A,K5,'[1]통합 판매내역'!C:C,$C$2)</f>
        <v>0</v>
      </c>
      <c r="R9" s="27"/>
      <c r="S9" s="19" t="s">
        <v>30</v>
      </c>
      <c r="T9" s="20" t="s">
        <v>32</v>
      </c>
      <c r="U9" s="21">
        <f>W9/1.1</f>
        <v>499999.99999999994</v>
      </c>
      <c r="V9" s="22"/>
      <c r="W9" s="23">
        <f>-SUMIFS('[1]통합 판매내역'!H:H,'[1]통합 판매내역'!E:E,B9,'[1]통합 판매내역'!A:A,R5,'[1]통합 판매내역'!C:C,$C$2)-SUMIFS('[1]통합 판매내역'!I:I,'[1]통합 판매내역'!E:E,B9,'[1]통합 판매내역'!A:A,R5,'[1]통합 판매내역'!C:C,$C$2)-SUMIFS('[1]통합 판매내역'!J:J,'[1]통합 판매내역'!E:E,B9,'[1]통합 판매내역'!A:A,R5,'[1]통합 판매내역'!C:C,$C$2)-SUMIFS('[1]통합 판매내역'!K:K,'[1]통합 판매내역'!E:E,B9,'[1]통합 판매내역'!A:A,R5,'[1]통합 판매내역'!C:C,$C$2)</f>
        <v>550000</v>
      </c>
      <c r="Y9" s="32" t="s">
        <v>17</v>
      </c>
      <c r="Z9" s="31"/>
      <c r="AA9" s="31"/>
      <c r="AB9" s="31"/>
    </row>
    <row r="10" spans="1:28" ht="17.25" customHeight="1">
      <c r="A10" s="33"/>
      <c r="B10" s="34" t="s">
        <v>7</v>
      </c>
      <c r="D10" s="27"/>
      <c r="E10" s="35" t="s">
        <v>35</v>
      </c>
      <c r="F10" s="36" t="s">
        <v>36</v>
      </c>
      <c r="G10" s="37">
        <f>SUMIFS('[1]통합 판매내역'!G:G,'[1]통합 판매내역'!E:E,[1]회계!B10,'[1]통합 판매내역'!A:A,[1]회계!D5,'[1]통합 판매내역'!C:C,$C$2)*B3</f>
        <v>20500000</v>
      </c>
      <c r="H10" s="22"/>
      <c r="I10" s="22">
        <f>SUMIFS('[1]통합 판매내역'!G:G,'[1]통합 판매내역'!E:E,[1]회계!B10,'[1]통합 판매내역'!A:A,[1]회계!D5,'[1]통합 판매내역'!C:C,$C$2)</f>
        <v>41</v>
      </c>
      <c r="K10" s="27"/>
      <c r="L10" s="35" t="s">
        <v>35</v>
      </c>
      <c r="M10" s="36" t="s">
        <v>36</v>
      </c>
      <c r="N10" s="37">
        <f>SUMIFS('[1]통합 판매내역'!G:G,'[1]통합 판매내역'!E:E,[1]회계!B10,'[1]통합 판매내역'!A:A,K5,'[1]통합 판매내역'!C:C,$C$2)*B3</f>
        <v>6000000</v>
      </c>
      <c r="O10" s="22"/>
      <c r="P10" s="22">
        <f>SUMIFS('[1]통합 판매내역'!G:G,'[1]통합 판매내역'!E:E,[1]회계!B10,'[1]통합 판매내역'!A:A,K5,'[1]통합 판매내역'!C:C,$C$2)</f>
        <v>12</v>
      </c>
      <c r="R10" s="27"/>
      <c r="S10" s="35" t="s">
        <v>35</v>
      </c>
      <c r="T10" s="36" t="s">
        <v>36</v>
      </c>
      <c r="U10" s="37">
        <f>SUMIFS('[1]통합 판매내역'!G:G,'[1]통합 판매내역'!E:E,[1]회계!B10,'[1]통합 판매내역'!A:A,R5,'[1]통합 판매내역'!C:C,$C$2)*B3</f>
        <v>1000000</v>
      </c>
      <c r="V10" s="22"/>
      <c r="W10" s="22">
        <f>SUMIFS('[1]통합 판매내역'!G:G,'[1]통합 판매내역'!E:E,[1]회계!B10,'[1]통합 판매내역'!A:A,R5,'[1]통합 판매내역'!C:C,$C$2)</f>
        <v>2</v>
      </c>
      <c r="Y10" s="30" t="s">
        <v>13</v>
      </c>
      <c r="Z10" s="31">
        <v>500500</v>
      </c>
      <c r="AA10" s="31"/>
      <c r="AB10" s="31"/>
    </row>
    <row r="11" spans="1:28" ht="17.25" customHeight="1">
      <c r="A11" s="33"/>
      <c r="B11" s="34" t="s">
        <v>19</v>
      </c>
      <c r="D11" s="27"/>
      <c r="E11" s="35" t="s">
        <v>35</v>
      </c>
      <c r="F11" s="36" t="s">
        <v>36</v>
      </c>
      <c r="G11" s="37">
        <f>SUMIFS('[1]통합 판매내역'!G:G,'[1]통합 판매내역'!E:E,B11,'[1]통합 판매내역'!A:A,[1]회계!D5,'[1]통합 판매내역'!C:C,$C$2)*B3</f>
        <v>0</v>
      </c>
      <c r="H11" s="22"/>
      <c r="I11" s="22">
        <f>SUMIFS('[1]통합 판매내역'!G:G,'[1]통합 판매내역'!E:E,B11,'[1]통합 판매내역'!A:A,[1]회계!D5,'[1]통합 판매내역'!C:C,$C$2)</f>
        <v>0</v>
      </c>
      <c r="K11" s="27"/>
      <c r="L11" s="35" t="s">
        <v>35</v>
      </c>
      <c r="M11" s="36" t="s">
        <v>36</v>
      </c>
      <c r="N11" s="37">
        <f>SUMIFS('[1]통합 판매내역'!G:G,'[1]통합 판매내역'!E:E,B11,'[1]통합 판매내역'!A:A,K5,'[1]통합 판매내역'!C:C,$C$2)*B3</f>
        <v>500000</v>
      </c>
      <c r="O11" s="22"/>
      <c r="P11" s="22">
        <f>SUMIFS('[1]통합 판매내역'!G:G,'[1]통합 판매내역'!E:E,B11,'[1]통합 판매내역'!A:A,K5,'[1]통합 판매내역'!C:C,$C$2)</f>
        <v>1</v>
      </c>
      <c r="R11" s="27"/>
      <c r="S11" s="35" t="s">
        <v>35</v>
      </c>
      <c r="T11" s="36" t="s">
        <v>36</v>
      </c>
      <c r="U11" s="37">
        <f>500000*SUMIFS('[1]통합 판매내역'!G:G,'[1]통합 판매내역'!E:E,B11,'[1]통합 판매내역'!A:A,[1]회계!R5,'[1]통합 판매내역'!C:C,$C$2)</f>
        <v>500000</v>
      </c>
      <c r="V11" s="22"/>
      <c r="W11" s="22">
        <f>SUMIFS('[1]통합 판매내역'!G:G,'[1]통합 판매내역'!E:E,B11,'[1]통합 판매내역'!A:A,[1]회계!R5,'[1]통합 판매내역'!C:C,$C$2)</f>
        <v>1</v>
      </c>
      <c r="Y11" s="32" t="s">
        <v>6</v>
      </c>
      <c r="Z11" s="31"/>
      <c r="AA11" s="31"/>
      <c r="AB11" s="31"/>
    </row>
    <row r="12" spans="1:28" ht="17.25" customHeight="1">
      <c r="A12" s="33"/>
      <c r="B12" s="34" t="s">
        <v>11</v>
      </c>
      <c r="D12" s="27"/>
      <c r="E12" s="35" t="s">
        <v>35</v>
      </c>
      <c r="F12" s="36" t="s">
        <v>37</v>
      </c>
      <c r="G12" s="37">
        <f>SUMIFS('[1]통합 판매내역'!G:G,'[1]통합 판매내역'!E:E,[1]회계!B12,'[1]통합 판매내역'!A:A,[1]회계!D5,'[1]통합 판매내역'!C:C,$C$2)*B3</f>
        <v>-500000</v>
      </c>
      <c r="H12" s="22"/>
      <c r="I12" s="22">
        <f>SUMIFS('[1]통합 판매내역'!G:G,'[1]통합 판매내역'!E:E,[1]회계!B12,'[1]통합 판매내역'!A:A,[1]회계!D5,'[1]통합 판매내역'!C:C,$C$2)</f>
        <v>-1</v>
      </c>
      <c r="K12" s="27"/>
      <c r="L12" s="35" t="s">
        <v>35</v>
      </c>
      <c r="M12" s="36" t="s">
        <v>37</v>
      </c>
      <c r="N12" s="37">
        <f>SUMIFS('[1]통합 판매내역'!G:G,'[1]통합 판매내역'!E:E,[1]회계!B12,'[1]통합 판매내역'!A:A,K5,'[1]통합 판매내역'!C:C,$C$2)*B3</f>
        <v>0</v>
      </c>
      <c r="O12" s="22"/>
      <c r="P12" s="22">
        <f>SUMIFS('[1]통합 판매내역'!G:G,'[1]통합 판매내역'!E:E,[1]회계!B12,'[1]통합 판매내역'!A:A,K5,'[1]통합 판매내역'!C:C,$C$2)</f>
        <v>0</v>
      </c>
      <c r="R12" s="27"/>
      <c r="S12" s="35" t="s">
        <v>35</v>
      </c>
      <c r="T12" s="36" t="s">
        <v>37</v>
      </c>
      <c r="U12" s="37">
        <f>SUMIFS('[1]통합 판매내역'!G:G,'[1]통합 판매내역'!E:E,[1]회계!B12,'[1]통합 판매내역'!A:A,R5,'[1]통합 판매내역'!C:C,$C$2)*B3</f>
        <v>0</v>
      </c>
      <c r="V12" s="22"/>
      <c r="W12" s="22">
        <f>SUMIFS('[1]통합 판매내역'!G:G,'[1]통합 판매내역'!E:E,[1]회계!B12,'[1]통합 판매내역'!A:A,R5,'[1]통합 판매내역'!C:C,$C$2)</f>
        <v>0</v>
      </c>
      <c r="X12" s="8" t="s">
        <v>38</v>
      </c>
      <c r="Y12" s="30" t="s">
        <v>20</v>
      </c>
      <c r="Z12" s="31"/>
      <c r="AA12" s="31"/>
      <c r="AB12" s="31"/>
    </row>
    <row r="13" spans="1:28" ht="17.25" customHeight="1">
      <c r="A13" s="33"/>
      <c r="B13" s="34" t="s">
        <v>2</v>
      </c>
      <c r="D13" s="27"/>
      <c r="E13" s="35" t="s">
        <v>35</v>
      </c>
      <c r="F13" s="36" t="s">
        <v>39</v>
      </c>
      <c r="G13" s="37">
        <f>H13*10%</f>
        <v>1721486.4545454544</v>
      </c>
      <c r="H13" s="22">
        <f>I13/1.1</f>
        <v>17214864.545454543</v>
      </c>
      <c r="I13" s="22">
        <f>SUMIFS('[1]통합 판매내역'!H:H,'[1]통합 판매내역'!A:A,[1]회계!D5,'[1]통합 판매내역'!C:C,$C$2)</f>
        <v>18936351</v>
      </c>
      <c r="K13" s="27"/>
      <c r="L13" s="35" t="s">
        <v>35</v>
      </c>
      <c r="M13" s="36" t="s">
        <v>39</v>
      </c>
      <c r="N13" s="37">
        <f>O13*10%</f>
        <v>548000</v>
      </c>
      <c r="O13" s="22">
        <f>P13/1.1</f>
        <v>5480000</v>
      </c>
      <c r="P13" s="22">
        <f>SUMIFS('[1]통합 판매내역'!H:H,'[1]통합 판매내역'!A:A,K5,'[1]통합 판매내역'!C:C,$C$2)</f>
        <v>6028000</v>
      </c>
      <c r="R13" s="27"/>
      <c r="S13" s="35" t="s">
        <v>35</v>
      </c>
      <c r="T13" s="36" t="s">
        <v>39</v>
      </c>
      <c r="U13" s="37">
        <f>V13*10%</f>
        <v>-5909.090909090909</v>
      </c>
      <c r="V13" s="22">
        <f>W13/1.1</f>
        <v>-59090.909090909088</v>
      </c>
      <c r="W13" s="22">
        <f>SUMIFS('[1]통합 판매내역'!H:H,'[1]통합 판매내역'!A:A,[1]회계!R5,'[1]통합 판매내역'!C:C,$C$2)</f>
        <v>-65000</v>
      </c>
      <c r="Y13" s="30" t="s">
        <v>18</v>
      </c>
      <c r="Z13" s="31"/>
      <c r="AA13" s="31"/>
      <c r="AB13" s="31">
        <v>540000</v>
      </c>
    </row>
    <row r="14" spans="1:28" ht="17.25" customHeight="1">
      <c r="A14" s="33"/>
      <c r="B14" s="34" t="s">
        <v>3</v>
      </c>
      <c r="D14" s="27"/>
      <c r="E14" s="35" t="s">
        <v>35</v>
      </c>
      <c r="F14" s="36" t="s">
        <v>39</v>
      </c>
      <c r="G14" s="37">
        <f>H14*10%</f>
        <v>404890.45454545453</v>
      </c>
      <c r="H14" s="22">
        <f>I14/1.1</f>
        <v>4048904.5454545449</v>
      </c>
      <c r="I14" s="23">
        <f>SUMIFS('[1]통합 판매내역'!I:I,'[1]통합 판매내역'!A:A,[1]회계!D5,'[1]통합 판매내역'!C:C,$C$2)</f>
        <v>4453795</v>
      </c>
      <c r="K14" s="27"/>
      <c r="L14" s="35" t="s">
        <v>35</v>
      </c>
      <c r="M14" s="36" t="s">
        <v>39</v>
      </c>
      <c r="N14" s="37">
        <f>O14*10%</f>
        <v>50000</v>
      </c>
      <c r="O14" s="22">
        <f>P14/1.1</f>
        <v>499999.99999999994</v>
      </c>
      <c r="P14" s="23">
        <f>SUMIFS('[1]통합 판매내역'!I:I,'[1]통합 판매내역'!A:A,K5,'[1]통합 판매내역'!C:C,$C$2)</f>
        <v>550000</v>
      </c>
      <c r="R14" s="27"/>
      <c r="S14" s="35" t="s">
        <v>35</v>
      </c>
      <c r="T14" s="36" t="s">
        <v>39</v>
      </c>
      <c r="U14" s="37">
        <f>V14*10%</f>
        <v>50000</v>
      </c>
      <c r="V14" s="22">
        <f>W14/1.1</f>
        <v>499999.99999999994</v>
      </c>
      <c r="W14" s="23">
        <f>SUMIFS('[1]통합 판매내역'!I:I,'[1]통합 판매내역'!A:A,[1]회계!R5,'[1]통합 판매내역'!C:C,$C$2)</f>
        <v>550000</v>
      </c>
      <c r="Y14" s="38"/>
      <c r="Z14" s="31"/>
      <c r="AA14" s="31"/>
      <c r="AB14" s="31"/>
    </row>
    <row r="15" spans="1:28" ht="17.25" customHeight="1">
      <c r="A15" s="33"/>
      <c r="B15" s="34" t="s">
        <v>5</v>
      </c>
      <c r="D15" s="27"/>
      <c r="E15" s="35" t="s">
        <v>35</v>
      </c>
      <c r="F15" s="36" t="s">
        <v>39</v>
      </c>
      <c r="G15" s="37">
        <f>H15*10%</f>
        <v>20532.18181818182</v>
      </c>
      <c r="H15" s="22">
        <f>I15/1.1</f>
        <v>205321.81818181818</v>
      </c>
      <c r="I15" s="23">
        <f>SUMIFS('[1]통합 판매내역'!K:K,'[1]통합 판매내역'!A:A,[1]회계!D5,'[1]통합 판매내역'!C:C,$C$2)</f>
        <v>225854</v>
      </c>
      <c r="K15" s="27"/>
      <c r="L15" s="35" t="s">
        <v>35</v>
      </c>
      <c r="M15" s="36" t="s">
        <v>39</v>
      </c>
      <c r="N15" s="37">
        <f>O15*10%</f>
        <v>2000</v>
      </c>
      <c r="O15" s="22">
        <f>P15/1.1</f>
        <v>20000</v>
      </c>
      <c r="P15" s="23">
        <f>SUMIFS('[1]통합 판매내역'!K:K,'[1]통합 판매내역'!A:A,K5,'[1]통합 판매내역'!C:C,$C$2)</f>
        <v>22000</v>
      </c>
      <c r="R15" s="27"/>
      <c r="S15" s="35" t="s">
        <v>35</v>
      </c>
      <c r="T15" s="36" t="s">
        <v>39</v>
      </c>
      <c r="U15" s="37">
        <f>V15*10%</f>
        <v>0</v>
      </c>
      <c r="V15" s="22">
        <f>W15/1.1</f>
        <v>0</v>
      </c>
      <c r="W15" s="23">
        <f>SUMIFS('[1]통합 판매내역'!K:K,'[1]통합 판매내역'!A:A,[1]회계!R5,'[1]통합 판매내역'!C:C,$C$2)</f>
        <v>0</v>
      </c>
      <c r="Y15" s="38"/>
      <c r="Z15" s="31"/>
      <c r="AA15" s="31"/>
      <c r="AB15" s="31"/>
    </row>
    <row r="16" spans="1:28" ht="17.25" customHeight="1" thickBot="1">
      <c r="A16" s="33"/>
      <c r="B16" s="34" t="s">
        <v>4</v>
      </c>
      <c r="D16" s="27"/>
      <c r="E16" s="35" t="s">
        <v>35</v>
      </c>
      <c r="F16" s="36" t="s">
        <v>39</v>
      </c>
      <c r="G16" s="37">
        <f>H16*10%</f>
        <v>50000</v>
      </c>
      <c r="H16" s="22">
        <f>I16/1.1</f>
        <v>499999.99999999994</v>
      </c>
      <c r="I16" s="23">
        <f>SUMIFS('[1]통합 판매내역'!J:J,'[1]통합 판매내역'!A:A,[1]회계!D5,'[1]통합 판매내역'!C:C,$C$2)</f>
        <v>550000</v>
      </c>
      <c r="K16" s="27"/>
      <c r="L16" s="35" t="s">
        <v>35</v>
      </c>
      <c r="M16" s="36" t="s">
        <v>39</v>
      </c>
      <c r="N16" s="37">
        <f>O16*10%</f>
        <v>0</v>
      </c>
      <c r="O16" s="22">
        <f>P16/1.1</f>
        <v>0</v>
      </c>
      <c r="P16" s="23">
        <f>SUMIFS('[1]통합 판매내역'!J:J,'[1]통합 판매내역'!A:A,K5,'[1]통합 판매내역'!C:C,$C$2)</f>
        <v>0</v>
      </c>
      <c r="R16" s="27"/>
      <c r="S16" s="35" t="s">
        <v>35</v>
      </c>
      <c r="T16" s="36" t="s">
        <v>39</v>
      </c>
      <c r="U16" s="37">
        <f>V16*10%</f>
        <v>0</v>
      </c>
      <c r="V16" s="22">
        <f>W16/1.1</f>
        <v>0</v>
      </c>
      <c r="W16" s="23">
        <f>SUMIFS('[1]통합 판매내역'!J:J,'[1]통합 판매내역'!A:A,[1]회계!R5,'[1]통합 판매내역'!C:C,$C$2)</f>
        <v>0</v>
      </c>
      <c r="Y16" s="31"/>
      <c r="Z16" s="31"/>
      <c r="AA16" s="31"/>
      <c r="AB16" s="38"/>
    </row>
    <row r="17" spans="1:28" ht="17.25" customHeight="1" thickBot="1">
      <c r="A17" s="39"/>
      <c r="B17" s="40"/>
      <c r="D17" s="41"/>
      <c r="E17" s="42" t="s">
        <v>30</v>
      </c>
      <c r="F17" s="43" t="s">
        <v>40</v>
      </c>
      <c r="G17" s="44">
        <f>SUMIFS(G5:G16,E5:E16,"대변")-SUMIFS(G5:G16,E5:E16,"차변")</f>
        <v>-0.90909091010689735</v>
      </c>
      <c r="H17" s="22"/>
      <c r="I17" s="23"/>
      <c r="K17" s="41"/>
      <c r="L17" s="42" t="s">
        <v>30</v>
      </c>
      <c r="M17" s="43" t="s">
        <v>40</v>
      </c>
      <c r="N17" s="44">
        <f>SUMIFS(N5:N16,L5:L16,"대변")-SUMIFS(N5:N16,L5:L16,"차변")</f>
        <v>0</v>
      </c>
      <c r="O17" s="22"/>
      <c r="P17" s="23"/>
      <c r="R17" s="41"/>
      <c r="S17" s="42" t="s">
        <v>30</v>
      </c>
      <c r="T17" s="43" t="s">
        <v>40</v>
      </c>
      <c r="U17" s="44">
        <f>SUMIFS(U5:U16,S5:S16,"대변")-SUMIFS(U5:U16,S5:S16,"차변")</f>
        <v>0</v>
      </c>
      <c r="V17" s="22"/>
      <c r="W17" s="23"/>
      <c r="Y17" s="45"/>
      <c r="Z17" s="46">
        <f>SUM(Z6:Z16)</f>
        <v>16578955</v>
      </c>
      <c r="AA17" s="46">
        <f>SUM(AA6:AA16)</f>
        <v>7050605</v>
      </c>
      <c r="AB17" s="47">
        <f>SUM(AB6:AB16)</f>
        <v>11298001</v>
      </c>
    </row>
    <row r="18" spans="1:28" ht="17.25" customHeight="1">
      <c r="B18" s="3">
        <v>500000</v>
      </c>
      <c r="Y18" s="2"/>
      <c r="Z18" s="2"/>
      <c r="AA18" s="2"/>
    </row>
    <row r="19" spans="1:28" ht="17.25" customHeight="1">
      <c r="B19" s="9" t="s">
        <v>1</v>
      </c>
      <c r="D19" s="10" t="s">
        <v>0</v>
      </c>
      <c r="E19" s="10" t="s">
        <v>24</v>
      </c>
      <c r="F19" s="10" t="s">
        <v>25</v>
      </c>
      <c r="G19" s="11" t="s">
        <v>26</v>
      </c>
      <c r="H19" s="12" t="s">
        <v>27</v>
      </c>
      <c r="I19" s="13" t="s">
        <v>28</v>
      </c>
      <c r="K19" s="10" t="s">
        <v>0</v>
      </c>
      <c r="L19" s="10" t="s">
        <v>24</v>
      </c>
      <c r="M19" s="10" t="s">
        <v>25</v>
      </c>
      <c r="N19" s="11" t="s">
        <v>26</v>
      </c>
      <c r="O19" s="12" t="s">
        <v>27</v>
      </c>
      <c r="P19" s="13" t="s">
        <v>28</v>
      </c>
      <c r="R19" s="10" t="s">
        <v>0</v>
      </c>
      <c r="S19" s="10" t="s">
        <v>24</v>
      </c>
      <c r="T19" s="10" t="s">
        <v>25</v>
      </c>
      <c r="U19" s="11" t="s">
        <v>26</v>
      </c>
      <c r="V19" s="12" t="s">
        <v>27</v>
      </c>
      <c r="W19" s="13" t="s">
        <v>28</v>
      </c>
      <c r="Y19" s="2"/>
      <c r="Z19" s="2"/>
      <c r="AA19" s="2"/>
    </row>
    <row r="20" spans="1:28" ht="17.25" customHeight="1">
      <c r="A20" s="16"/>
      <c r="B20" s="17"/>
      <c r="D20" s="48" t="s">
        <v>41</v>
      </c>
      <c r="E20" s="19" t="s">
        <v>30</v>
      </c>
      <c r="F20" s="20" t="s">
        <v>31</v>
      </c>
      <c r="G20" s="21">
        <f>SUM(I28:I31)</f>
        <v>0</v>
      </c>
      <c r="H20" s="22"/>
      <c r="I20" s="23"/>
      <c r="K20" s="48" t="s">
        <v>6</v>
      </c>
      <c r="L20" s="19" t="s">
        <v>30</v>
      </c>
      <c r="M20" s="20" t="s">
        <v>31</v>
      </c>
      <c r="N20" s="21">
        <f>SUM(P28:P31)</f>
        <v>1733000</v>
      </c>
      <c r="O20" s="22"/>
      <c r="P20" s="23"/>
      <c r="R20" s="18" t="s">
        <v>13</v>
      </c>
      <c r="S20" s="19" t="s">
        <v>30</v>
      </c>
      <c r="T20" s="20" t="s">
        <v>31</v>
      </c>
      <c r="U20" s="21">
        <f>SUM(W28:W31)</f>
        <v>0</v>
      </c>
      <c r="V20" s="22"/>
      <c r="W20" s="23"/>
      <c r="AA20" s="2"/>
    </row>
    <row r="21" spans="1:28" ht="17.25" customHeight="1">
      <c r="A21" s="16"/>
      <c r="B21" s="26" t="s">
        <v>9</v>
      </c>
      <c r="D21" s="27"/>
      <c r="E21" s="19" t="s">
        <v>30</v>
      </c>
      <c r="F21" s="20" t="s">
        <v>10</v>
      </c>
      <c r="G21" s="21">
        <f>I21/1.1</f>
        <v>0</v>
      </c>
      <c r="H21" s="22"/>
      <c r="I21" s="23">
        <f>-SUMIFS('[1]통합 판매내역'!H:H,'[1]통합 판매내역'!E:E,[1]회계!B21,'[1]통합 판매내역'!A:A,D20,'[1]통합 판매내역'!C:C,$C$2)-SUMIFS('[1]통합 판매내역'!I:I,'[1]통합 판매내역'!E:E,[1]회계!B21,'[1]통합 판매내역'!A:A,D20,'[1]통합 판매내역'!C:C,$C$2)-SUMIFS('[1]통합 판매내역'!J:J,'[1]통합 판매내역'!E:E,[1]회계!B21,'[1]통합 판매내역'!A:A,D20,'[1]통합 판매내역'!C:C,$C$2)-SUMIFS('[1]통합 판매내역'!K:K,'[1]통합 판매내역'!E:E,[1]회계!B21,'[1]통합 판매내역'!A:A,D20,'[1]통합 판매내역'!C:C,$C$2)</f>
        <v>0</v>
      </c>
      <c r="K21" s="27"/>
      <c r="L21" s="19" t="s">
        <v>30</v>
      </c>
      <c r="M21" s="20" t="s">
        <v>10</v>
      </c>
      <c r="N21" s="21">
        <f>P21/1.1</f>
        <v>-67272.727272727265</v>
      </c>
      <c r="O21" s="22"/>
      <c r="P21" s="23">
        <f>-SUMIFS('[1]통합 판매내역'!H:H,'[1]통합 판매내역'!E:E,[1]회계!B36,'[1]통합 판매내역'!A:A,[1]회계!K20,'[1]통합 판매내역'!C:C,$C$2)-SUMIFS('[1]통합 판매내역'!I:I,'[1]통합 판매내역'!E:E,[1]회계!B36,'[1]통합 판매내역'!A:A,[1]회계!K20,'[1]통합 판매내역'!C:C,$C$2)-SUMIFS('[1]통합 판매내역'!J:J,'[1]통합 판매내역'!E:E,[1]회계!B36,'[1]통합 판매내역'!A:A,[1]회계!K20,'[1]통합 판매내역'!C:C,$C$2)-SUMIFS('[1]통합 판매내역'!K:K,'[1]통합 판매내역'!E:E,[1]회계!B36,'[1]통합 판매내역'!A:A,[1]회계!K20,'[1]통합 판매내역'!C:C,$C$2)</f>
        <v>-74000</v>
      </c>
      <c r="R21" s="27"/>
      <c r="S21" s="19" t="s">
        <v>30</v>
      </c>
      <c r="T21" s="20" t="s">
        <v>10</v>
      </c>
      <c r="U21" s="21">
        <f>W21/1.1</f>
        <v>0</v>
      </c>
      <c r="V21" s="22"/>
      <c r="W21" s="23">
        <f>-SUMIFS('[1]통합 판매내역'!H:H,'[1]통합 판매내역'!E:E,[1]회계!B36,'[1]통합 판매내역'!A:A,R20,'[1]통합 판매내역'!C:C,$C$2)-SUMIFS('[1]통합 판매내역'!I:I,'[1]통합 판매내역'!E:E,[1]회계!B36,'[1]통합 판매내역'!A:A,R20,'[1]통합 판매내역'!C:C,$C$2)-SUMIFS('[1]통합 판매내역'!J:J,'[1]통합 판매내역'!E:E,[1]회계!B36,'[1]통합 판매내역'!A:A,R20,'[1]통합 판매내역'!C:C,$C$2)-SUMIFS('[1]통합 판매내역'!K:K,'[1]통합 판매내역'!E:E,[1]회계!B36,'[1]통합 판매내역'!A:A,R20,'[1]통합 판매내역'!C:C,$C$2)</f>
        <v>0</v>
      </c>
      <c r="AA21" s="2"/>
    </row>
    <row r="22" spans="1:28" ht="17.25" customHeight="1">
      <c r="A22" s="16"/>
      <c r="B22" s="26" t="s">
        <v>16</v>
      </c>
      <c r="D22" s="27"/>
      <c r="E22" s="19" t="s">
        <v>30</v>
      </c>
      <c r="F22" s="20" t="s">
        <v>16</v>
      </c>
      <c r="G22" s="21">
        <f>I22/1.1</f>
        <v>0</v>
      </c>
      <c r="H22" s="22"/>
      <c r="I22" s="23">
        <f>-SUMIFS('[1]통합 판매내역'!H:H,'[1]통합 판매내역'!E:E,[1]회계!B22,'[1]통합 판매내역'!A:A,D20,'[1]통합 판매내역'!C:C,$C$2)-SUMIFS('[1]통합 판매내역'!I:I,'[1]통합 판매내역'!E:E,[1]회계!B22,'[1]통합 판매내역'!A:A,D20,'[1]통합 판매내역'!C:C,$C$2)-SUMIFS('[1]통합 판매내역'!J:J,'[1]통합 판매내역'!E:E,[1]회계!B22,'[1]통합 판매내역'!A:A,D20,'[1]통합 판매내역'!C:C,$C$2)-SUMIFS('[1]통합 판매내역'!K:K,'[1]통합 판매내역'!E:E,[1]회계!B22,'[1]통합 판매내역'!A:A,D20,'[1]통합 판매내역'!C:C,$C$2)</f>
        <v>0</v>
      </c>
      <c r="K22" s="27"/>
      <c r="L22" s="19" t="s">
        <v>30</v>
      </c>
      <c r="M22" s="20" t="s">
        <v>16</v>
      </c>
      <c r="N22" s="21">
        <f>P22/1.1</f>
        <v>-8181.8181818181811</v>
      </c>
      <c r="O22" s="22"/>
      <c r="P22" s="23">
        <f>-SUMIFS('[1]통합 판매내역'!H:H,'[1]통합 판매내역'!E:E,[1]회계!B37,'[1]통합 판매내역'!A:A,K20,'[1]통합 판매내역'!C:C,$C$2)-SUMIFS('[1]통합 판매내역'!I:I,'[1]통합 판매내역'!E:E,[1]회계!B37,'[1]통합 판매내역'!A:A,K20,'[1]통합 판매내역'!C:C,$C$2)-SUMIFS('[1]통합 판매내역'!J:J,'[1]통합 판매내역'!E:E,[1]회계!B37,'[1]통합 판매내역'!A:A,K20,'[1]통합 판매내역'!C:C,$C$2)-SUMIFS('[1]통합 판매내역'!K:K,'[1]통합 판매내역'!E:E,[1]회계!B37,'[1]통합 판매내역'!A:A,K20,'[1]통합 판매내역'!C:C,$C$2)</f>
        <v>-9000</v>
      </c>
      <c r="R22" s="27"/>
      <c r="S22" s="19" t="s">
        <v>30</v>
      </c>
      <c r="T22" s="20" t="s">
        <v>16</v>
      </c>
      <c r="U22" s="21">
        <f>W22/1.1</f>
        <v>0</v>
      </c>
      <c r="V22" s="22"/>
      <c r="W22" s="23">
        <f>-SUMIFS('[1]통합 판매내역'!H:H,'[1]통합 판매내역'!E:E,[1]회계!B37,'[1]통합 판매내역'!A:A,R20,'[1]통합 판매내역'!C:C,$C$2)-SUMIFS('[1]통합 판매내역'!I:I,'[1]통합 판매내역'!E:E,[1]회계!B37,'[1]통합 판매내역'!A:A,R20,'[1]통합 판매내역'!C:C,$C$2)-SUMIFS('[1]통합 판매내역'!J:J,'[1]통합 판매내역'!E:E,[1]회계!B37,'[1]통합 판매내역'!A:A,R20,'[1]통합 판매내역'!C:C,$C$2)-SUMIFS('[1]통합 판매내역'!K:K,'[1]통합 판매내역'!E:E,[1]회계!B37,'[1]통합 판매내역'!A:A,R20,'[1]통합 판매내역'!C:C,$C$2)</f>
        <v>0</v>
      </c>
      <c r="AA22" s="2"/>
    </row>
    <row r="23" spans="1:28" ht="17.25" customHeight="1">
      <c r="A23" s="16"/>
      <c r="B23" s="26" t="s">
        <v>19</v>
      </c>
      <c r="D23" s="27"/>
      <c r="E23" s="19" t="s">
        <v>30</v>
      </c>
      <c r="F23" s="20" t="s">
        <v>32</v>
      </c>
      <c r="G23" s="21">
        <f>500000*SUMIFS('[1]통합 판매내역'!G:G,'[1]통합 판매내역'!E:E,[1]회계!B38,'[1]통합 판매내역'!A:A,D20,'[1]통합 판매내역'!C:C,$C$2)</f>
        <v>0</v>
      </c>
      <c r="H23" s="22"/>
      <c r="I23" s="23"/>
      <c r="K23" s="27"/>
      <c r="L23" s="19" t="s">
        <v>30</v>
      </c>
      <c r="M23" s="20" t="s">
        <v>32</v>
      </c>
      <c r="N23" s="21">
        <f>500000*SUMIFS('[1]통합 판매내역'!G:G,'[1]통합 판매내역'!E:E,[1]회계!B38,'[1]통합 판매내역'!A:A,[1]회계!K20,'[1]통합 판매내역'!C:C,$C$2)</f>
        <v>0</v>
      </c>
      <c r="O23" s="22"/>
      <c r="P23" s="23"/>
      <c r="R23" s="27"/>
      <c r="S23" s="19" t="s">
        <v>30</v>
      </c>
      <c r="T23" s="20" t="s">
        <v>32</v>
      </c>
      <c r="U23" s="21">
        <f>500000*SUMIFS('[1]통합 판매내역'!G:G,'[1]통합 판매내역'!E:E,[1]회계!B38,'[1]통합 판매내역'!A:A,R20,'[1]통합 판매내역'!C:C,$C$2)</f>
        <v>0</v>
      </c>
      <c r="V23" s="22"/>
      <c r="W23" s="23"/>
      <c r="AA23" s="2"/>
    </row>
    <row r="24" spans="1:28" ht="17.25" customHeight="1">
      <c r="A24" s="16"/>
      <c r="B24" s="26" t="s">
        <v>12</v>
      </c>
      <c r="D24" s="27"/>
      <c r="E24" s="19" t="s">
        <v>30</v>
      </c>
      <c r="F24" s="20" t="s">
        <v>32</v>
      </c>
      <c r="G24" s="21">
        <f>I24/1.1</f>
        <v>0</v>
      </c>
      <c r="H24" s="22"/>
      <c r="I24" s="23">
        <f>-SUMIFS('[1]통합 판매내역'!H:H,'[1]통합 판매내역'!E:E,B24,'[1]통합 판매내역'!A:A,D20,'[1]통합 판매내역'!C:C,$C$2)-SUMIFS('[1]통합 판매내역'!I:I,'[1]통합 판매내역'!E:E,B24,'[1]통합 판매내역'!A:A,D20,'[1]통합 판매내역'!C:C,$C$2)-SUMIFS('[1]통합 판매내역'!J:J,'[1]통합 판매내역'!E:E,B24,'[1]통합 판매내역'!A:A,D20,'[1]통합 판매내역'!C:C,$C$2)-SUMIFS('[1]통합 판매내역'!K:K,'[1]통합 판매내역'!E:E,B24,'[1]통합 판매내역'!A:A,D20,'[1]통합 판매내역'!C:C,$C$2)</f>
        <v>0</v>
      </c>
      <c r="K24" s="27"/>
      <c r="L24" s="19" t="s">
        <v>30</v>
      </c>
      <c r="M24" s="20" t="s">
        <v>32</v>
      </c>
      <c r="N24" s="21">
        <f>P24/1.1</f>
        <v>-499999.99999999994</v>
      </c>
      <c r="O24" s="22"/>
      <c r="P24" s="23">
        <f>-SUMIFS('[1]통합 판매내역'!H:H,'[1]통합 판매내역'!E:E,B24,'[1]통합 판매내역'!A:A,K20,'[1]통합 판매내역'!C:C,$C$2)-SUMIFS('[1]통합 판매내역'!I:I,'[1]통합 판매내역'!E:E,B24,'[1]통합 판매내역'!A:A,K20,'[1]통합 판매내역'!C:C,$C$2)-SUMIFS('[1]통합 판매내역'!J:J,'[1]통합 판매내역'!E:E,B24,'[1]통합 판매내역'!A:A,K20,'[1]통합 판매내역'!C:C,$C$2)-SUMIFS('[1]통합 판매내역'!K:K,'[1]통합 판매내역'!E:E,B24,'[1]통합 판매내역'!A:A,K20,'[1]통합 판매내역'!C:C,$C$2)</f>
        <v>-550000</v>
      </c>
      <c r="R24" s="27"/>
      <c r="S24" s="19" t="s">
        <v>30</v>
      </c>
      <c r="T24" s="20" t="s">
        <v>32</v>
      </c>
      <c r="U24" s="21">
        <f>W24/1.1</f>
        <v>0</v>
      </c>
      <c r="V24" s="22"/>
      <c r="W24" s="23">
        <f>-SUMIFS('[1]통합 판매내역'!H:H,'[1]통합 판매내역'!E:E,B24,'[1]통합 판매내역'!A:A,R20,'[1]통합 판매내역'!C:C,$C$2)-SUMIFS('[1]통합 판매내역'!I:I,'[1]통합 판매내역'!E:E,B24,'[1]통합 판매내역'!A:A,R20,'[1]통합 판매내역'!C:C,$C$2)-SUMIFS('[1]통합 판매내역'!J:J,'[1]통합 판매내역'!E:E,B24,'[1]통합 판매내역'!A:A,R20,'[1]통합 판매내역'!C:C,$C$2)-SUMIFS('[1]통합 판매내역'!K:K,'[1]통합 판매내역'!E:E,B24,'[1]통합 판매내역'!A:A,R20,'[1]통합 판매내역'!C:C,$C$2)</f>
        <v>0</v>
      </c>
      <c r="AA24" s="2"/>
    </row>
    <row r="25" spans="1:28" ht="17.25" customHeight="1">
      <c r="A25" s="33"/>
      <c r="B25" s="34" t="s">
        <v>7</v>
      </c>
      <c r="D25" s="27"/>
      <c r="E25" s="35" t="s">
        <v>35</v>
      </c>
      <c r="F25" s="36" t="s">
        <v>36</v>
      </c>
      <c r="G25" s="37">
        <f>SUMIFS('[1]통합 판매내역'!G:G,'[1]통합 판매내역'!E:E,[1]회계!B10,'[1]통합 판매내역'!A:A,D20,'[1]통합 판매내역'!C:C,$C$2)*B3</f>
        <v>0</v>
      </c>
      <c r="H25" s="22"/>
      <c r="I25" s="22">
        <f>SUMIFS('[1]통합 판매내역'!G:G,'[1]통합 판매내역'!E:E,[1]회계!B10,'[1]통합 판매내역'!A:A,D20,'[1]통합 판매내역'!C:C,$C$2)</f>
        <v>0</v>
      </c>
      <c r="K25" s="27"/>
      <c r="L25" s="35" t="s">
        <v>35</v>
      </c>
      <c r="M25" s="36" t="s">
        <v>36</v>
      </c>
      <c r="N25" s="37">
        <f>SUMIFS('[1]통합 판매내역'!G:G,'[1]통합 판매내역'!E:E,[1]회계!B10,'[1]통합 판매내역'!A:A,K20,'[1]통합 판매내역'!C:C,$C$2)*B3</f>
        <v>1000000</v>
      </c>
      <c r="O25" s="22"/>
      <c r="P25" s="23">
        <f>SUMIFS('[1]통합 판매내역'!G:G,'[1]통합 판매내역'!E:E,[1]회계!B10,'[1]통합 판매내역'!A:A,K20,'[1]통합 판매내역'!C:C,$C$2)</f>
        <v>2</v>
      </c>
      <c r="R25" s="27"/>
      <c r="S25" s="35" t="s">
        <v>35</v>
      </c>
      <c r="T25" s="36" t="s">
        <v>36</v>
      </c>
      <c r="U25" s="37">
        <f>SUMIFS('[1]통합 판매내역'!G:G,'[1]통합 판매내역'!E:E,[1]회계!B10,'[1]통합 판매내역'!A:A,R20,'[1]통합 판매내역'!C:C,$C$2)*B3</f>
        <v>0</v>
      </c>
      <c r="V25" s="22"/>
      <c r="W25" s="22">
        <f>SUMIFS('[1]통합 판매내역'!G:G,'[1]통합 판매내역'!E:E,[1]회계!B10,'[1]통합 판매내역'!A:A,R20,'[1]통합 판매내역'!C:C,$C$2)</f>
        <v>0</v>
      </c>
      <c r="AA25" s="2"/>
    </row>
    <row r="26" spans="1:28" ht="17.25" customHeight="1">
      <c r="A26" s="33"/>
      <c r="B26" s="34" t="s">
        <v>19</v>
      </c>
      <c r="D26" s="27"/>
      <c r="E26" s="35" t="s">
        <v>35</v>
      </c>
      <c r="F26" s="36" t="s">
        <v>36</v>
      </c>
      <c r="G26" s="37">
        <f>500000*SUMIFS('[1]통합 판매내역'!G:G,'[1]통합 판매내역'!E:E,B26,'[1]통합 판매내역'!A:A,D20,'[1]통합 판매내역'!C:C,$C$2)</f>
        <v>0</v>
      </c>
      <c r="H26" s="22"/>
      <c r="I26" s="22">
        <f>SUMIFS('[1]통합 판매내역'!G:G,'[1]통합 판매내역'!E:E,B26,'[1]통합 판매내역'!A:A,D20,'[1]통합 판매내역'!C:C,$C$2)</f>
        <v>0</v>
      </c>
      <c r="K26" s="27"/>
      <c r="L26" s="35" t="s">
        <v>35</v>
      </c>
      <c r="M26" s="36" t="s">
        <v>36</v>
      </c>
      <c r="N26" s="37">
        <f>500000*SUMIFS('[1]통합 판매내역'!G:G,'[1]통합 판매내역'!E:E,B26,'[1]통합 판매내역'!A:A,K20,'[1]통합 판매내역'!C:C,$C$2)</f>
        <v>0</v>
      </c>
      <c r="O26" s="22"/>
      <c r="P26" s="22">
        <f>SUMIFS('[1]통합 판매내역'!G:G,'[1]통합 판매내역'!E:E,B26,'[1]통합 판매내역'!A:A,K20,'[1]통합 판매내역'!C:C,$C$2)</f>
        <v>0</v>
      </c>
      <c r="R26" s="27"/>
      <c r="S26" s="35" t="s">
        <v>35</v>
      </c>
      <c r="T26" s="36" t="s">
        <v>36</v>
      </c>
      <c r="U26" s="37">
        <f>500000*SUMIFS('[1]통합 판매내역'!G:G,'[1]통합 판매내역'!E:E,B26,'[1]통합 판매내역'!A:A,R20,'[1]통합 판매내역'!C:C,$C$2)</f>
        <v>0</v>
      </c>
      <c r="V26" s="22"/>
      <c r="W26" s="22">
        <f>SUMIFS('[1]통합 판매내역'!G:G,'[1]통합 판매내역'!E:E,B26,'[1]통합 판매내역'!A:A,R20,'[1]통합 판매내역'!C:C,$C$2)</f>
        <v>0</v>
      </c>
      <c r="AA26" s="2"/>
    </row>
    <row r="27" spans="1:28" ht="17.25" customHeight="1">
      <c r="A27" s="33"/>
      <c r="B27" s="34" t="s">
        <v>11</v>
      </c>
      <c r="D27" s="27"/>
      <c r="E27" s="35" t="s">
        <v>35</v>
      </c>
      <c r="F27" s="36" t="s">
        <v>37</v>
      </c>
      <c r="G27" s="37">
        <f>SUMIFS('[1]통합 판매내역'!G:G,'[1]통합 판매내역'!E:E,[1]회계!B12,'[1]통합 판매내역'!A:A,D20,'[1]통합 판매내역'!C:C,$C$2)*B3</f>
        <v>0</v>
      </c>
      <c r="H27" s="22"/>
      <c r="I27" s="22">
        <f>SUMIFS('[1]통합 판매내역'!G:G,'[1]통합 판매내역'!E:E,[1]회계!B12,'[1]통합 판매내역'!A:A,D20,'[1]통합 판매내역'!C:C,$C$2)</f>
        <v>0</v>
      </c>
      <c r="K27" s="27"/>
      <c r="L27" s="35" t="s">
        <v>35</v>
      </c>
      <c r="M27" s="36" t="s">
        <v>37</v>
      </c>
      <c r="N27" s="37">
        <f>SUMIFS('[1]통합 판매내역'!G:G,'[1]통합 판매내역'!E:E,[1]회계!B12,'[1]통합 판매내역'!A:A,K20,'[1]통합 판매내역'!C:C,$C$2)*B3</f>
        <v>0</v>
      </c>
      <c r="O27" s="22"/>
      <c r="P27" s="22">
        <f>SUMIFS('[1]통합 판매내역'!G:G,'[1]통합 판매내역'!E:E,[1]회계!B12,'[1]통합 판매내역'!A:A,K20,'[1]통합 판매내역'!C:C,$C$2)</f>
        <v>0</v>
      </c>
      <c r="R27" s="27"/>
      <c r="S27" s="35" t="s">
        <v>35</v>
      </c>
      <c r="T27" s="36" t="s">
        <v>37</v>
      </c>
      <c r="U27" s="37">
        <f>SUMIFS('[1]통합 판매내역'!G:G,'[1]통합 판매내역'!E:E,[1]회계!B12,'[1]통합 판매내역'!A:A,R20,'[1]통합 판매내역'!C:C,$C$2)*B3</f>
        <v>0</v>
      </c>
      <c r="V27" s="22"/>
      <c r="W27" s="22">
        <f>SUMIFS('[1]통합 판매내역'!G:G,'[1]통합 판매내역'!E:E,[1]회계!B12,'[1]통합 판매내역'!A:A,R20,'[1]통합 판매내역'!C:C,$C$2)</f>
        <v>0</v>
      </c>
      <c r="AA27" s="2"/>
    </row>
    <row r="28" spans="1:28" ht="17.25" customHeight="1">
      <c r="A28" s="33"/>
      <c r="B28" s="34" t="s">
        <v>2</v>
      </c>
      <c r="D28" s="27"/>
      <c r="E28" s="35" t="s">
        <v>35</v>
      </c>
      <c r="F28" s="36" t="s">
        <v>39</v>
      </c>
      <c r="G28" s="37">
        <f>H28*10%</f>
        <v>0</v>
      </c>
      <c r="H28" s="22">
        <f>I28/1.1</f>
        <v>0</v>
      </c>
      <c r="I28" s="22">
        <f>SUMIFS('[1]통합 판매내역'!H:H,'[1]통합 판매내역'!A:A,D20,'[1]통합 판매내역'!C:C,$C$2)</f>
        <v>0</v>
      </c>
      <c r="K28" s="27"/>
      <c r="L28" s="35" t="s">
        <v>35</v>
      </c>
      <c r="M28" s="36" t="s">
        <v>39</v>
      </c>
      <c r="N28" s="37">
        <f>O28*10%</f>
        <v>0</v>
      </c>
      <c r="O28" s="22">
        <f>P28/1.1</f>
        <v>0</v>
      </c>
      <c r="P28" s="22">
        <f>SUMIFS('[1]통합 판매내역'!H:H,'[1]통합 판매내역'!A:A,[1]회계!K20,'[1]통합 판매내역'!C:C,$C$2)</f>
        <v>0</v>
      </c>
      <c r="R28" s="27"/>
      <c r="S28" s="35" t="s">
        <v>35</v>
      </c>
      <c r="T28" s="36" t="s">
        <v>39</v>
      </c>
      <c r="U28" s="37">
        <f>V28*10%</f>
        <v>0</v>
      </c>
      <c r="V28" s="22">
        <f>W28/1.1</f>
        <v>0</v>
      </c>
      <c r="W28" s="22">
        <f>SUMIFS('[1]통합 판매내역'!H:H,'[1]통합 판매내역'!A:A,R20,'[1]통합 판매내역'!C:C,$C$2)</f>
        <v>0</v>
      </c>
    </row>
    <row r="29" spans="1:28" ht="17.25" customHeight="1">
      <c r="A29" s="33"/>
      <c r="B29" s="34" t="s">
        <v>3</v>
      </c>
      <c r="D29" s="27"/>
      <c r="E29" s="35" t="s">
        <v>35</v>
      </c>
      <c r="F29" s="36" t="s">
        <v>39</v>
      </c>
      <c r="G29" s="37">
        <f>H29*10%</f>
        <v>0</v>
      </c>
      <c r="H29" s="22">
        <f>I29/1.1</f>
        <v>0</v>
      </c>
      <c r="I29" s="23">
        <f>SUMIFS('[1]통합 판매내역'!I:I,'[1]통합 판매내역'!A:A,D20,'[1]통합 판매내역'!C:C,$C$2)</f>
        <v>0</v>
      </c>
      <c r="K29" s="27"/>
      <c r="L29" s="35" t="s">
        <v>35</v>
      </c>
      <c r="M29" s="36" t="s">
        <v>39</v>
      </c>
      <c r="N29" s="37">
        <f>O29*10%</f>
        <v>0</v>
      </c>
      <c r="O29" s="22">
        <f>P29/1.1</f>
        <v>0</v>
      </c>
      <c r="P29" s="23">
        <f>SUMIFS('[1]통합 판매내역'!I:I,'[1]통합 판매내역'!A:A,[1]회계!K20,'[1]통합 판매내역'!C:C,$C$2)</f>
        <v>0</v>
      </c>
      <c r="R29" s="27"/>
      <c r="S29" s="35" t="s">
        <v>35</v>
      </c>
      <c r="T29" s="36" t="s">
        <v>39</v>
      </c>
      <c r="U29" s="37">
        <f>V29*10%</f>
        <v>0</v>
      </c>
      <c r="V29" s="22">
        <f>W29/1.1</f>
        <v>0</v>
      </c>
      <c r="W29" s="23">
        <f>SUMIFS('[1]통합 판매내역'!I:I,'[1]통합 판매내역'!A:A,R20,'[1]통합 판매내역'!C:C,$C$2)</f>
        <v>0</v>
      </c>
    </row>
    <row r="30" spans="1:28" ht="17.25" customHeight="1">
      <c r="A30" s="33"/>
      <c r="B30" s="34" t="s">
        <v>5</v>
      </c>
      <c r="D30" s="27"/>
      <c r="E30" s="35" t="s">
        <v>35</v>
      </c>
      <c r="F30" s="36" t="s">
        <v>39</v>
      </c>
      <c r="G30" s="37">
        <f>H30*10%</f>
        <v>0</v>
      </c>
      <c r="H30" s="22">
        <f>I30/1.1</f>
        <v>0</v>
      </c>
      <c r="I30" s="23">
        <f>SUMIFS('[1]통합 판매내역'!K:K,'[1]통합 판매내역'!A:A,D20,'[1]통합 판매내역'!C:C,$C$2)</f>
        <v>0</v>
      </c>
      <c r="K30" s="27"/>
      <c r="L30" s="35" t="s">
        <v>35</v>
      </c>
      <c r="M30" s="36" t="s">
        <v>39</v>
      </c>
      <c r="N30" s="37">
        <f>O30*10%</f>
        <v>157545.45454545456</v>
      </c>
      <c r="O30" s="22">
        <f>P30/1.1</f>
        <v>1575454.5454545454</v>
      </c>
      <c r="P30" s="23">
        <f>SUMIFS('[1]통합 판매내역'!K:K,'[1]통합 판매내역'!A:A,[1]회계!K20,'[1]통합 판매내역'!C:C,$C$2)</f>
        <v>1733000</v>
      </c>
      <c r="R30" s="27"/>
      <c r="S30" s="35" t="s">
        <v>35</v>
      </c>
      <c r="T30" s="36" t="s">
        <v>39</v>
      </c>
      <c r="U30" s="37">
        <f>V30*10%</f>
        <v>0</v>
      </c>
      <c r="V30" s="22">
        <f>W30/1.1</f>
        <v>0</v>
      </c>
      <c r="W30" s="23">
        <f>SUMIFS('[1]통합 판매내역'!K:K,'[1]통합 판매내역'!A:A,R20,'[1]통합 판매내역'!C:C,$C$2)</f>
        <v>0</v>
      </c>
    </row>
    <row r="31" spans="1:28" ht="17.25" customHeight="1">
      <c r="A31" s="33"/>
      <c r="B31" s="34" t="s">
        <v>4</v>
      </c>
      <c r="D31" s="27"/>
      <c r="E31" s="35" t="s">
        <v>35</v>
      </c>
      <c r="F31" s="36" t="s">
        <v>39</v>
      </c>
      <c r="G31" s="37">
        <f>H31*10%</f>
        <v>0</v>
      </c>
      <c r="H31" s="22">
        <f>I31/1.1</f>
        <v>0</v>
      </c>
      <c r="I31" s="23">
        <f>SUMIFS('[1]통합 판매내역'!J:J,'[1]통합 판매내역'!A:A,D20,'[1]통합 판매내역'!C:C,$C$2)</f>
        <v>0</v>
      </c>
      <c r="K31" s="27"/>
      <c r="L31" s="35" t="s">
        <v>35</v>
      </c>
      <c r="M31" s="36" t="s">
        <v>39</v>
      </c>
      <c r="N31" s="37">
        <f>O31*10%</f>
        <v>0</v>
      </c>
      <c r="O31" s="22">
        <f>P31/1.1</f>
        <v>0</v>
      </c>
      <c r="P31" s="23">
        <f>SUMIFS('[1]통합 판매내역'!J:J,'[1]통합 판매내역'!A:A,[1]회계!K20,'[1]통합 판매내역'!C:C,$C$2)</f>
        <v>0</v>
      </c>
      <c r="R31" s="27"/>
      <c r="S31" s="35" t="s">
        <v>35</v>
      </c>
      <c r="T31" s="36" t="s">
        <v>39</v>
      </c>
      <c r="U31" s="37">
        <f>V31*10%</f>
        <v>0</v>
      </c>
      <c r="V31" s="22">
        <f>W31/1.1</f>
        <v>0</v>
      </c>
      <c r="W31" s="23">
        <f>SUMIFS('[1]통합 판매내역'!J:J,'[1]통합 판매내역'!A:A,R20,'[1]통합 판매내역'!C:C,$C$2)</f>
        <v>0</v>
      </c>
    </row>
    <row r="32" spans="1:28" ht="17.25" customHeight="1">
      <c r="A32" s="39"/>
      <c r="B32" s="40"/>
      <c r="D32" s="41"/>
      <c r="E32" s="42" t="s">
        <v>30</v>
      </c>
      <c r="F32" s="43" t="s">
        <v>40</v>
      </c>
      <c r="G32" s="44">
        <f>SUMIFS(G20:G31,E20:E31,"대변")-SUMIFS(G20:G31,E20:E31,"차변")</f>
        <v>0</v>
      </c>
      <c r="H32" s="22"/>
      <c r="I32" s="23"/>
      <c r="K32" s="41"/>
      <c r="L32" s="42" t="s">
        <v>30</v>
      </c>
      <c r="M32" s="43" t="s">
        <v>40</v>
      </c>
      <c r="N32" s="44">
        <f>SUMIFS(N20:N31,L20:L31,"대변")-SUMIFS(N20:N31,L20:L31,"차변")</f>
        <v>0</v>
      </c>
      <c r="O32" s="22"/>
      <c r="P32" s="23"/>
      <c r="R32" s="41"/>
      <c r="S32" s="42" t="s">
        <v>30</v>
      </c>
      <c r="T32" s="43" t="s">
        <v>40</v>
      </c>
      <c r="U32" s="44">
        <f>SUMIFS(U20:U31,S20:S31,"대변")-SUMIFS(U20:U31,S20:S31,"차변")</f>
        <v>0</v>
      </c>
      <c r="V32" s="22"/>
      <c r="W32" s="23"/>
    </row>
    <row r="33" spans="1:23" ht="17.25" customHeight="1">
      <c r="B33" s="3">
        <v>500000</v>
      </c>
    </row>
    <row r="34" spans="1:23" ht="17.25" customHeight="1">
      <c r="B34" s="9" t="s">
        <v>1</v>
      </c>
      <c r="D34" s="10" t="s">
        <v>0</v>
      </c>
      <c r="E34" s="10" t="s">
        <v>24</v>
      </c>
      <c r="F34" s="10" t="s">
        <v>25</v>
      </c>
      <c r="G34" s="11" t="s">
        <v>26</v>
      </c>
      <c r="H34" s="12" t="s">
        <v>27</v>
      </c>
      <c r="I34" s="13" t="s">
        <v>28</v>
      </c>
      <c r="K34" s="10" t="s">
        <v>0</v>
      </c>
      <c r="L34" s="10" t="s">
        <v>24</v>
      </c>
      <c r="M34" s="10" t="s">
        <v>25</v>
      </c>
      <c r="N34" s="11" t="s">
        <v>26</v>
      </c>
      <c r="O34" s="12" t="s">
        <v>27</v>
      </c>
      <c r="P34" s="13" t="s">
        <v>28</v>
      </c>
      <c r="R34" s="10" t="s">
        <v>0</v>
      </c>
      <c r="S34" s="10" t="s">
        <v>24</v>
      </c>
      <c r="T34" s="10" t="s">
        <v>25</v>
      </c>
      <c r="U34" s="11" t="s">
        <v>26</v>
      </c>
      <c r="V34" s="12" t="s">
        <v>27</v>
      </c>
      <c r="W34" s="13" t="s">
        <v>28</v>
      </c>
    </row>
    <row r="35" spans="1:23" ht="17.25" customHeight="1">
      <c r="A35" s="16"/>
      <c r="B35" s="17"/>
      <c r="D35" s="18" t="s">
        <v>18</v>
      </c>
      <c r="E35" s="19" t="s">
        <v>30</v>
      </c>
      <c r="F35" s="20" t="s">
        <v>31</v>
      </c>
      <c r="G35" s="21">
        <f>SUM(I43:I46)</f>
        <v>550000</v>
      </c>
      <c r="H35" s="22"/>
      <c r="I35" s="23"/>
      <c r="K35" s="18" t="s">
        <v>20</v>
      </c>
      <c r="L35" s="19" t="s">
        <v>30</v>
      </c>
      <c r="M35" s="20" t="s">
        <v>31</v>
      </c>
      <c r="N35" s="21">
        <f>SUM(P43:P46)</f>
        <v>550000</v>
      </c>
      <c r="O35" s="22"/>
      <c r="P35" s="23"/>
      <c r="R35" s="18" t="s">
        <v>21</v>
      </c>
      <c r="S35" s="19" t="s">
        <v>30</v>
      </c>
      <c r="T35" s="20" t="s">
        <v>31</v>
      </c>
      <c r="U35" s="21">
        <f>SUM(W43:W46)</f>
        <v>624000</v>
      </c>
      <c r="V35" s="22"/>
      <c r="W35" s="23"/>
    </row>
    <row r="36" spans="1:23" ht="17.25" customHeight="1">
      <c r="A36" s="16"/>
      <c r="B36" s="26" t="s">
        <v>9</v>
      </c>
      <c r="D36" s="27"/>
      <c r="E36" s="19" t="s">
        <v>30</v>
      </c>
      <c r="F36" s="20" t="s">
        <v>10</v>
      </c>
      <c r="G36" s="21">
        <f>I36/1.1</f>
        <v>0</v>
      </c>
      <c r="H36" s="22"/>
      <c r="I36" s="23">
        <f>-SUMIFS('[1]통합 판매내역'!H:H,'[1]통합 판매내역'!E:E,[1]회계!B36,'[1]통합 판매내역'!A:A,[1]회계!D35,'[1]통합 판매내역'!C:C,$C$2)-SUMIFS('[1]통합 판매내역'!I:I,'[1]통합 판매내역'!E:E,[1]회계!B36,'[1]통합 판매내역'!A:A,[1]회계!D35,'[1]통합 판매내역'!C:C,$C$2)-SUMIFS('[1]통합 판매내역'!J:J,'[1]통합 판매내역'!E:E,[1]회계!B36,'[1]통합 판매내역'!A:A,[1]회계!D35,'[1]통합 판매내역'!C:C,$C$2)-SUMIFS('[1]통합 판매내역'!K:K,'[1]통합 판매내역'!E:E,[1]회계!B36,'[1]통합 판매내역'!A:A,[1]회계!D35,'[1]통합 판매내역'!C:C,$C$2)</f>
        <v>0</v>
      </c>
      <c r="K36" s="27"/>
      <c r="L36" s="19" t="s">
        <v>30</v>
      </c>
      <c r="M36" s="20" t="s">
        <v>10</v>
      </c>
      <c r="N36" s="21">
        <f>P36/1.1</f>
        <v>0</v>
      </c>
      <c r="O36" s="22"/>
      <c r="P36" s="23">
        <f>-SUMIFS('[1]통합 판매내역'!H:H,'[1]통합 판매내역'!E:E,[1]회계!B36,'[1]통합 판매내역'!A:A,K35,'[1]통합 판매내역'!C:C,$C$2)-SUMIFS('[1]통합 판매내역'!I:I,'[1]통합 판매내역'!E:E,[1]회계!B36,'[1]통합 판매내역'!A:A,K35,'[1]통합 판매내역'!C:C,$C$2)-SUMIFS('[1]통합 판매내역'!J:J,'[1]통합 판매내역'!E:E,[1]회계!B36,'[1]통합 판매내역'!A:A,K35,'[1]통합 판매내역'!C:C,$C$2)-SUMIFS('[1]통합 판매내역'!K:K,'[1]통합 판매내역'!E:E,[1]회계!B36,'[1]통합 판매내역'!A:A,K35,'[1]통합 판매내역'!C:C,$C$2)</f>
        <v>0</v>
      </c>
      <c r="R36" s="27"/>
      <c r="S36" s="19" t="s">
        <v>30</v>
      </c>
      <c r="T36" s="20" t="s">
        <v>10</v>
      </c>
      <c r="U36" s="21">
        <f>W36/1.1</f>
        <v>-67272.727272727265</v>
      </c>
      <c r="V36" s="22"/>
      <c r="W36" s="23">
        <f>-SUMIFS('[1]통합 판매내역'!H:H,'[1]통합 판매내역'!E:E,[1]회계!B36,'[1]통합 판매내역'!A:A,[1]회계!R35,'[1]통합 판매내역'!C:C,$C$2)-SUMIFS('[1]통합 판매내역'!I:I,'[1]통합 판매내역'!E:E,[1]회계!B36,'[1]통합 판매내역'!A:A,[1]회계!R35,'[1]통합 판매내역'!C:C,$C$2)-SUMIFS('[1]통합 판매내역'!J:J,'[1]통합 판매내역'!E:E,[1]회계!B36,'[1]통합 판매내역'!A:A,[1]회계!R35,'[1]통합 판매내역'!C:C,$C$2)-SUMIFS('[1]통합 판매내역'!K:K,'[1]통합 판매내역'!E:E,[1]회계!B36,'[1]통합 판매내역'!A:A,[1]회계!R35,'[1]통합 판매내역'!C:C,$C$2)</f>
        <v>-74000</v>
      </c>
    </row>
    <row r="37" spans="1:23" ht="17.25" customHeight="1">
      <c r="A37" s="16"/>
      <c r="B37" s="26" t="s">
        <v>16</v>
      </c>
      <c r="D37" s="27"/>
      <c r="E37" s="19" t="s">
        <v>30</v>
      </c>
      <c r="F37" s="20" t="s">
        <v>16</v>
      </c>
      <c r="G37" s="21">
        <f>I37/1.1</f>
        <v>0</v>
      </c>
      <c r="H37" s="22"/>
      <c r="I37" s="23">
        <f>-SUMIFS('[1]통합 판매내역'!H:H,'[1]통합 판매내역'!E:E,[1]회계!B37,'[1]통합 판매내역'!A:A,D35,'[1]통합 판매내역'!C:C,$C$2)-SUMIFS('[1]통합 판매내역'!I:I,'[1]통합 판매내역'!E:E,[1]회계!B37,'[1]통합 판매내역'!A:A,D35,'[1]통합 판매내역'!C:C,$C$2)-SUMIFS('[1]통합 판매내역'!J:J,'[1]통합 판매내역'!E:E,[1]회계!B37,'[1]통합 판매내역'!A:A,D35,'[1]통합 판매내역'!C:C,$C$2)-SUMIFS('[1]통합 판매내역'!K:K,'[1]통합 판매내역'!E:E,[1]회계!B37,'[1]통합 판매내역'!A:A,D35,'[1]통합 판매내역'!C:C,$C$2)</f>
        <v>0</v>
      </c>
      <c r="K37" s="27"/>
      <c r="L37" s="19" t="s">
        <v>30</v>
      </c>
      <c r="M37" s="20" t="s">
        <v>16</v>
      </c>
      <c r="N37" s="21">
        <f>P37/1.1</f>
        <v>0</v>
      </c>
      <c r="O37" s="22"/>
      <c r="P37" s="23">
        <f>-SUMIFS('[1]통합 판매내역'!H:H,'[1]통합 판매내역'!E:E,[1]회계!B37,'[1]통합 판매내역'!A:A,K35,'[1]통합 판매내역'!C:C,$C$2)-SUMIFS('[1]통합 판매내역'!I:I,'[1]통합 판매내역'!E:E,[1]회계!B37,'[1]통합 판매내역'!A:A,K35,'[1]통합 판매내역'!C:C,$C$2)-SUMIFS('[1]통합 판매내역'!J:J,'[1]통합 판매내역'!E:E,[1]회계!B37,'[1]통합 판매내역'!A:A,K35,'[1]통합 판매내역'!C:C,$C$2)-SUMIFS('[1]통합 판매내역'!K:K,'[1]통합 판매내역'!E:E,[1]회계!B37,'[1]통합 판매내역'!A:A,K35,'[1]통합 판매내역'!C:C,$C$2)</f>
        <v>0</v>
      </c>
      <c r="R37" s="27"/>
      <c r="S37" s="19" t="s">
        <v>30</v>
      </c>
      <c r="T37" s="20" t="s">
        <v>16</v>
      </c>
      <c r="U37" s="21">
        <f>W37/1.1</f>
        <v>0</v>
      </c>
      <c r="V37" s="22"/>
      <c r="W37" s="23">
        <f>-SUMIFS('[1]통합 판매내역'!H:H,'[1]통합 판매내역'!E:E,[1]회계!B37,'[1]통합 판매내역'!A:A,R35,'[1]통합 판매내역'!C:C,$C$2)-SUMIFS('[1]통합 판매내역'!I:I,'[1]통합 판매내역'!E:E,[1]회계!B37,'[1]통합 판매내역'!A:A,R35,'[1]통합 판매내역'!C:C,$C$2)-SUMIFS('[1]통합 판매내역'!J:J,'[1]통합 판매내역'!E:E,[1]회계!B37,'[1]통합 판매내역'!A:A,R35,'[1]통합 판매내역'!C:C,$C$2)-SUMIFS('[1]통합 판매내역'!K:K,'[1]통합 판매내역'!E:E,[1]회계!B37,'[1]통합 판매내역'!A:A,R35,'[1]통합 판매내역'!C:C,$C$2)</f>
        <v>0</v>
      </c>
    </row>
    <row r="38" spans="1:23" ht="17.25" customHeight="1">
      <c r="A38" s="16"/>
      <c r="B38" s="26" t="s">
        <v>19</v>
      </c>
      <c r="D38" s="27"/>
      <c r="E38" s="19" t="s">
        <v>30</v>
      </c>
      <c r="F38" s="20" t="s">
        <v>32</v>
      </c>
      <c r="G38" s="21">
        <f>500000*SUMIFS('[1]통합 판매내역'!G:G,'[1]통합 판매내역'!E:E,[1]회계!B38,'[1]통합 판매내역'!A:A,[1]회계!D35,'[1]통합 판매내역'!C:C,$C$2)</f>
        <v>0</v>
      </c>
      <c r="H38" s="22"/>
      <c r="I38" s="23"/>
      <c r="K38" s="27"/>
      <c r="L38" s="19" t="s">
        <v>30</v>
      </c>
      <c r="M38" s="20" t="s">
        <v>32</v>
      </c>
      <c r="N38" s="21">
        <f>500000*SUMIFS('[1]통합 판매내역'!G:G,'[1]통합 판매내역'!E:E,[1]회계!B38,'[1]통합 판매내역'!A:A,K35,'[1]통합 판매내역'!C:C,$C$2)</f>
        <v>0</v>
      </c>
      <c r="O38" s="22"/>
      <c r="P38" s="23"/>
      <c r="R38" s="27"/>
      <c r="S38" s="19" t="s">
        <v>30</v>
      </c>
      <c r="T38" s="20" t="s">
        <v>32</v>
      </c>
      <c r="U38" s="21">
        <f>500000*SUMIFS('[1]통합 판매내역'!G:G,'[1]통합 판매내역'!E:E,[1]회계!B38,'[1]통합 판매내역'!A:A,[1]회계!R35,'[1]통합 판매내역'!C:C,$C$2)</f>
        <v>0</v>
      </c>
      <c r="V38" s="22"/>
      <c r="W38" s="23"/>
    </row>
    <row r="39" spans="1:23" ht="17.25" customHeight="1">
      <c r="A39" s="16"/>
      <c r="B39" s="26" t="s">
        <v>12</v>
      </c>
      <c r="D39" s="27"/>
      <c r="E39" s="19" t="s">
        <v>30</v>
      </c>
      <c r="F39" s="20" t="s">
        <v>32</v>
      </c>
      <c r="G39" s="21">
        <f>I39/1.1</f>
        <v>0</v>
      </c>
      <c r="H39" s="22"/>
      <c r="I39" s="23">
        <f>-SUMIFS('[1]통합 판매내역'!H:H,'[1]통합 판매내역'!E:E,B39,'[1]통합 판매내역'!A:A,D35,'[1]통합 판매내역'!C:C,$C$2)-SUMIFS('[1]통합 판매내역'!I:I,'[1]통합 판매내역'!E:E,B39,'[1]통합 판매내역'!A:A,D35,'[1]통합 판매내역'!C:C,$C$2)-SUMIFS('[1]통합 판매내역'!J:J,'[1]통합 판매내역'!E:E,B39,'[1]통합 판매내역'!A:A,D35,'[1]통합 판매내역'!C:C,$C$2)-SUMIFS('[1]통합 판매내역'!K:K,'[1]통합 판매내역'!E:E,B39,'[1]통합 판매내역'!A:A,D35,'[1]통합 판매내역'!C:C,$C$2)</f>
        <v>0</v>
      </c>
      <c r="K39" s="27"/>
      <c r="L39" s="19" t="s">
        <v>30</v>
      </c>
      <c r="M39" s="20" t="s">
        <v>32</v>
      </c>
      <c r="N39" s="21">
        <f>P39/1.1</f>
        <v>-499999.99999999994</v>
      </c>
      <c r="O39" s="22"/>
      <c r="P39" s="23">
        <f>-SUMIFS('[1]통합 판매내역'!H:H,'[1]통합 판매내역'!E:E,B39,'[1]통합 판매내역'!A:A,K35,'[1]통합 판매내역'!C:C,$C$2)-SUMIFS('[1]통합 판매내역'!I:I,'[1]통합 판매내역'!E:E,B39,'[1]통합 판매내역'!A:A,K35,'[1]통합 판매내역'!C:C,$C$2)-SUMIFS('[1]통합 판매내역'!J:J,'[1]통합 판매내역'!E:E,B39,'[1]통합 판매내역'!A:A,K35,'[1]통합 판매내역'!C:C,$C$2)-SUMIFS('[1]통합 판매내역'!K:K,'[1]통합 판매내역'!E:E,B39,'[1]통합 판매내역'!A:A,K35,'[1]통합 판매내역'!C:C,$C$2)</f>
        <v>-550000</v>
      </c>
      <c r="R39" s="27"/>
      <c r="S39" s="19" t="s">
        <v>30</v>
      </c>
      <c r="T39" s="20" t="s">
        <v>32</v>
      </c>
      <c r="U39" s="21">
        <f>W39/1.1</f>
        <v>0</v>
      </c>
      <c r="V39" s="22"/>
      <c r="W39" s="23">
        <f>-SUMIFS('[1]통합 판매내역'!H:H,'[1]통합 판매내역'!E:E,B39,'[1]통합 판매내역'!A:A,R35,'[1]통합 판매내역'!C:C,$C$2)-SUMIFS('[1]통합 판매내역'!I:I,'[1]통합 판매내역'!E:E,B39,'[1]통합 판매내역'!A:A,R35,'[1]통합 판매내역'!C:C,$C$2)-SUMIFS('[1]통합 판매내역'!J:J,'[1]통합 판매내역'!E:E,B39,'[1]통합 판매내역'!A:A,R35,'[1]통합 판매내역'!C:C,$C$2)-SUMIFS('[1]통합 판매내역'!K:K,'[1]통합 판매내역'!E:E,B39,'[1]통합 판매내역'!A:A,R35,'[1]통합 판매내역'!C:C,$C$2)</f>
        <v>0</v>
      </c>
    </row>
    <row r="40" spans="1:23" ht="17.25" customHeight="1">
      <c r="A40" s="33"/>
      <c r="B40" s="34" t="s">
        <v>7</v>
      </c>
      <c r="D40" s="27"/>
      <c r="E40" s="35" t="s">
        <v>35</v>
      </c>
      <c r="F40" s="36" t="s">
        <v>36</v>
      </c>
      <c r="G40" s="37">
        <f>SUMIFS('[1]통합 판매내역'!G:G,'[1]통합 판매내역'!E:E,[1]회계!B10,'[1]통합 판매내역'!A:A,D35,'[1]통합 판매내역'!C:C,$C$2)*B3</f>
        <v>500000</v>
      </c>
      <c r="H40" s="22"/>
      <c r="I40" s="23">
        <f>SUMIFS('[1]통합 판매내역'!G:G,'[1]통합 판매내역'!E:E,[1]회계!B10,'[1]통합 판매내역'!A:A,D35,'[1]통합 판매내역'!C:C,$C$2)</f>
        <v>1</v>
      </c>
      <c r="K40" s="27"/>
      <c r="L40" s="35" t="s">
        <v>35</v>
      </c>
      <c r="M40" s="36" t="s">
        <v>36</v>
      </c>
      <c r="N40" s="37">
        <f>SUMIFS('[1]통합 판매내역'!G:G,'[1]통합 판매내역'!E:E,[1]회계!B10,'[1]통합 판매내역'!A:A,K35,'[1]통합 판매내역'!C:C,$C$2)*B3</f>
        <v>0</v>
      </c>
      <c r="O40" s="22"/>
      <c r="P40" s="22">
        <f>SUMIFS('[1]통합 판매내역'!G:G,'[1]통합 판매내역'!E:E,[1]회계!B10,'[1]통합 판매내역'!A:A,K35,'[1]통합 판매내역'!C:C,$C$2)</f>
        <v>0</v>
      </c>
      <c r="R40" s="27"/>
      <c r="S40" s="35" t="s">
        <v>35</v>
      </c>
      <c r="T40" s="36" t="s">
        <v>36</v>
      </c>
      <c r="U40" s="37">
        <f>SUMIFS('[1]통합 판매내역'!G:G,'[1]통합 판매내역'!E:E,[1]회계!B10,'[1]통합 판매내역'!A:A,R35,'[1]통합 판매내역'!C:C,$C$2)*B3</f>
        <v>500000</v>
      </c>
      <c r="V40" s="22"/>
      <c r="W40" s="23">
        <f>SUMIFS('[1]통합 판매내역'!G:G,'[1]통합 판매내역'!E:E,[1]회계!B10,'[1]통합 판매내역'!A:A,R35,'[1]통합 판매내역'!C:C,$C$2)</f>
        <v>1</v>
      </c>
    </row>
    <row r="41" spans="1:23" ht="17.25" customHeight="1">
      <c r="A41" s="33"/>
      <c r="B41" s="34" t="s">
        <v>19</v>
      </c>
      <c r="D41" s="27"/>
      <c r="E41" s="35" t="s">
        <v>35</v>
      </c>
      <c r="F41" s="36" t="s">
        <v>36</v>
      </c>
      <c r="G41" s="37">
        <f>500000*SUMIFS('[1]통합 판매내역'!G:G,'[1]통합 판매내역'!E:E,B26,'[1]통합 판매내역'!A:A,D35,'[1]통합 판매내역'!C:C,$C$2)</f>
        <v>0</v>
      </c>
      <c r="H41" s="22"/>
      <c r="I41" s="22">
        <f>SUMIFS('[1]통합 판매내역'!G:G,'[1]통합 판매내역'!E:E,B26,'[1]통합 판매내역'!A:A,D35,'[1]통합 판매내역'!C:C,$C$2)</f>
        <v>0</v>
      </c>
      <c r="K41" s="27"/>
      <c r="L41" s="35" t="s">
        <v>35</v>
      </c>
      <c r="M41" s="36" t="s">
        <v>36</v>
      </c>
      <c r="N41" s="37">
        <f>500000*SUMIFS('[1]통합 판매내역'!G:G,'[1]통합 판매내역'!E:E,B26,'[1]통합 판매내역'!A:A,K35,'[1]통합 판매내역'!C:C,$C$2)</f>
        <v>0</v>
      </c>
      <c r="O41" s="22"/>
      <c r="P41" s="22">
        <f>SUMIFS('[1]통합 판매내역'!G:G,'[1]통합 판매내역'!E:E,B26,'[1]통합 판매내역'!A:A,K35,'[1]통합 판매내역'!C:C,$C$2)</f>
        <v>0</v>
      </c>
      <c r="R41" s="27"/>
      <c r="S41" s="35" t="s">
        <v>35</v>
      </c>
      <c r="T41" s="36" t="s">
        <v>36</v>
      </c>
      <c r="U41" s="37">
        <f>500000*SUMIFS('[1]통합 판매내역'!G:G,'[1]통합 판매내역'!E:E,B26,'[1]통합 판매내역'!A:A,R35,'[1]통합 판매내역'!C:C,$C$2)</f>
        <v>0</v>
      </c>
      <c r="V41" s="22"/>
      <c r="W41" s="22">
        <f>SUMIFS('[1]통합 판매내역'!G:G,'[1]통합 판매내역'!E:E,B26,'[1]통합 판매내역'!A:A,R35,'[1]통합 판매내역'!C:C,$C$2)</f>
        <v>0</v>
      </c>
    </row>
    <row r="42" spans="1:23" ht="17.25" customHeight="1">
      <c r="A42" s="33"/>
      <c r="B42" s="34" t="s">
        <v>11</v>
      </c>
      <c r="D42" s="27"/>
      <c r="E42" s="35" t="s">
        <v>35</v>
      </c>
      <c r="F42" s="36" t="s">
        <v>37</v>
      </c>
      <c r="G42" s="37">
        <f>SUMIFS('[1]통합 판매내역'!G:G,'[1]통합 판매내역'!E:E,[1]회계!B12,'[1]통합 판매내역'!A:A,D35,'[1]통합 판매내역'!C:C,$C$2)*B3</f>
        <v>0</v>
      </c>
      <c r="H42" s="22"/>
      <c r="I42" s="22">
        <f>SUMIFS('[1]통합 판매내역'!G:G,'[1]통합 판매내역'!E:E,[1]회계!B12,'[1]통합 판매내역'!A:A,D35,'[1]통합 판매내역'!C:C,$C$2)</f>
        <v>0</v>
      </c>
      <c r="K42" s="27"/>
      <c r="L42" s="35" t="s">
        <v>35</v>
      </c>
      <c r="M42" s="36" t="s">
        <v>37</v>
      </c>
      <c r="N42" s="37">
        <f>SUMIFS('[1]통합 판매내역'!G:G,'[1]통합 판매내역'!E:E,[1]회계!B12,'[1]통합 판매내역'!A:A,K35,'[1]통합 판매내역'!C:C,$C$2)*B3</f>
        <v>0</v>
      </c>
      <c r="O42" s="22"/>
      <c r="P42" s="22">
        <f>SUMIFS('[1]통합 판매내역'!G:G,'[1]통합 판매내역'!E:E,[1]회계!B12,'[1]통합 판매내역'!A:A,K35,'[1]통합 판매내역'!C:C,$C$2)</f>
        <v>0</v>
      </c>
      <c r="R42" s="27"/>
      <c r="S42" s="35" t="s">
        <v>35</v>
      </c>
      <c r="T42" s="36" t="s">
        <v>37</v>
      </c>
      <c r="U42" s="37">
        <f>SUMIFS('[1]통합 판매내역'!G:G,'[1]통합 판매내역'!E:E,[1]회계!B12,'[1]통합 판매내역'!A:A,R35,'[1]통합 판매내역'!C:C,$C$2)*B3</f>
        <v>0</v>
      </c>
      <c r="V42" s="22"/>
      <c r="W42" s="22">
        <f>SUMIFS('[1]통합 판매내역'!G:G,'[1]통합 판매내역'!E:E,[1]회계!B12,'[1]통합 판매내역'!A:A,R35,'[1]통합 판매내역'!C:C,$C$2)</f>
        <v>0</v>
      </c>
    </row>
    <row r="43" spans="1:23" ht="17.25" customHeight="1">
      <c r="A43" s="33"/>
      <c r="B43" s="34" t="s">
        <v>2</v>
      </c>
      <c r="D43" s="27"/>
      <c r="E43" s="35" t="s">
        <v>35</v>
      </c>
      <c r="F43" s="36" t="s">
        <v>39</v>
      </c>
      <c r="G43" s="37">
        <f>H43*10%</f>
        <v>49090.909090909088</v>
      </c>
      <c r="H43" s="22">
        <f>I43/1.1</f>
        <v>490909.09090909088</v>
      </c>
      <c r="I43" s="22">
        <f>SUMIFS('[1]통합 판매내역'!H:H,'[1]통합 판매내역'!A:A,[1]회계!D35,'[1]통합 판매내역'!C:C,$C$2)</f>
        <v>540000</v>
      </c>
      <c r="K43" s="27"/>
      <c r="L43" s="35" t="s">
        <v>35</v>
      </c>
      <c r="M43" s="36" t="s">
        <v>39</v>
      </c>
      <c r="N43" s="37">
        <f>O43*10%</f>
        <v>0</v>
      </c>
      <c r="O43" s="22">
        <f>P43/1.1</f>
        <v>0</v>
      </c>
      <c r="P43" s="22">
        <f>SUMIFS('[1]통합 판매내역'!H:H,'[1]통합 판매내역'!A:A,K35,'[1]통합 판매내역'!C:C,$C$2)</f>
        <v>0</v>
      </c>
      <c r="R43" s="27"/>
      <c r="S43" s="35" t="s">
        <v>35</v>
      </c>
      <c r="T43" s="36" t="s">
        <v>39</v>
      </c>
      <c r="U43" s="37">
        <f>V43*10%</f>
        <v>0</v>
      </c>
      <c r="V43" s="22">
        <f>W43/1.1</f>
        <v>0</v>
      </c>
      <c r="W43" s="22">
        <f>SUMIFS('[1]통합 판매내역'!H:H,'[1]통합 판매내역'!A:A,[1]회계!R35,'[1]통합 판매내역'!C:C,$C$2)</f>
        <v>0</v>
      </c>
    </row>
    <row r="44" spans="1:23" ht="17.25" customHeight="1">
      <c r="A44" s="33"/>
      <c r="B44" s="34" t="s">
        <v>3</v>
      </c>
      <c r="D44" s="27"/>
      <c r="E44" s="35" t="s">
        <v>35</v>
      </c>
      <c r="F44" s="36" t="s">
        <v>39</v>
      </c>
      <c r="G44" s="37">
        <f>H44*10%</f>
        <v>0</v>
      </c>
      <c r="H44" s="22">
        <f>I44/1.1</f>
        <v>0</v>
      </c>
      <c r="I44" s="23">
        <f>SUMIFS('[1]통합 판매내역'!I:I,'[1]통합 판매내역'!A:A,[1]회계!D35,'[1]통합 판매내역'!C:C,$C$2)</f>
        <v>0</v>
      </c>
      <c r="K44" s="27"/>
      <c r="L44" s="35" t="s">
        <v>35</v>
      </c>
      <c r="M44" s="36" t="s">
        <v>39</v>
      </c>
      <c r="N44" s="37">
        <f>O44*10%</f>
        <v>49976.909090909088</v>
      </c>
      <c r="O44" s="22">
        <f>P44/1.1</f>
        <v>499769.09090909088</v>
      </c>
      <c r="P44" s="23">
        <f>SUMIFS('[1]통합 판매내역'!I:I,'[1]통합 판매내역'!A:A,K35,'[1]통합 판매내역'!C:C,$C$2)</f>
        <v>549746</v>
      </c>
      <c r="R44" s="27"/>
      <c r="S44" s="35" t="s">
        <v>35</v>
      </c>
      <c r="T44" s="36" t="s">
        <v>39</v>
      </c>
      <c r="U44" s="37">
        <f>V44*10%</f>
        <v>0</v>
      </c>
      <c r="V44" s="22">
        <f>W44/1.1</f>
        <v>0</v>
      </c>
      <c r="W44" s="23">
        <f>SUMIFS('[1]통합 판매내역'!I:I,'[1]통합 판매내역'!A:A,[1]회계!R35,'[1]통합 판매내역'!C:C,$C$2)</f>
        <v>0</v>
      </c>
    </row>
    <row r="45" spans="1:23" ht="17.25" customHeight="1">
      <c r="A45" s="33"/>
      <c r="B45" s="34" t="s">
        <v>5</v>
      </c>
      <c r="D45" s="27"/>
      <c r="E45" s="35" t="s">
        <v>35</v>
      </c>
      <c r="F45" s="36" t="s">
        <v>39</v>
      </c>
      <c r="G45" s="37">
        <f>H45*10%</f>
        <v>909.09090909090901</v>
      </c>
      <c r="H45" s="22">
        <f>I45/1.1</f>
        <v>9090.9090909090901</v>
      </c>
      <c r="I45" s="23">
        <f>SUMIFS('[1]통합 판매내역'!K:K,'[1]통합 판매내역'!A:A,[1]회계!D35,'[1]통합 판매내역'!C:C,$C$2)</f>
        <v>10000</v>
      </c>
      <c r="K45" s="27"/>
      <c r="L45" s="35" t="s">
        <v>35</v>
      </c>
      <c r="M45" s="36" t="s">
        <v>39</v>
      </c>
      <c r="N45" s="37">
        <f>O45*10%</f>
        <v>23.09090909090909</v>
      </c>
      <c r="O45" s="22">
        <f>P45/1.1</f>
        <v>230.90909090909088</v>
      </c>
      <c r="P45" s="23">
        <f>SUMIFS('[1]통합 판매내역'!K:K,'[1]통합 판매내역'!A:A,K35,'[1]통합 판매내역'!C:C,$C$2)</f>
        <v>254</v>
      </c>
      <c r="R45" s="27"/>
      <c r="S45" s="35" t="s">
        <v>35</v>
      </c>
      <c r="T45" s="36" t="s">
        <v>39</v>
      </c>
      <c r="U45" s="37">
        <f>V45*10%</f>
        <v>0</v>
      </c>
      <c r="V45" s="22">
        <f>W45/1.1</f>
        <v>0</v>
      </c>
      <c r="W45" s="23">
        <f>SUMIFS('[1]통합 판매내역'!K:K,'[1]통합 판매내역'!A:A,[1]회계!R35,'[1]통합 판매내역'!C:C,$C$2)</f>
        <v>0</v>
      </c>
    </row>
    <row r="46" spans="1:23" ht="17.25" customHeight="1">
      <c r="A46" s="33"/>
      <c r="B46" s="34" t="s">
        <v>4</v>
      </c>
      <c r="D46" s="27"/>
      <c r="E46" s="35" t="s">
        <v>35</v>
      </c>
      <c r="F46" s="36" t="s">
        <v>39</v>
      </c>
      <c r="G46" s="37">
        <f>H46*10%</f>
        <v>0</v>
      </c>
      <c r="H46" s="22">
        <f>I46/1.1</f>
        <v>0</v>
      </c>
      <c r="I46" s="23">
        <f>SUMIFS('[1]통합 판매내역'!J:J,'[1]통합 판매내역'!A:A,[1]회계!D35,'[1]통합 판매내역'!C:C,$C$2)</f>
        <v>0</v>
      </c>
      <c r="K46" s="27"/>
      <c r="L46" s="35" t="s">
        <v>35</v>
      </c>
      <c r="M46" s="36" t="s">
        <v>39</v>
      </c>
      <c r="N46" s="37">
        <f>O46*10%</f>
        <v>0</v>
      </c>
      <c r="O46" s="22">
        <f>P46/1.1</f>
        <v>0</v>
      </c>
      <c r="P46" s="23">
        <f>SUMIFS('[1]통합 판매내역'!J:J,'[1]통합 판매내역'!A:A,K35,'[1]통합 판매내역'!C:C,$C$2)</f>
        <v>0</v>
      </c>
      <c r="R46" s="27"/>
      <c r="S46" s="35" t="s">
        <v>35</v>
      </c>
      <c r="T46" s="36" t="s">
        <v>39</v>
      </c>
      <c r="U46" s="37">
        <f>V46*10%</f>
        <v>56727.272727272721</v>
      </c>
      <c r="V46" s="22">
        <f>W46/1.1</f>
        <v>567272.72727272718</v>
      </c>
      <c r="W46" s="23">
        <f>SUMIFS('[1]통합 판매내역'!J:J,'[1]통합 판매내역'!A:A,[1]회계!R35,'[1]통합 판매내역'!C:C,$C$2)</f>
        <v>624000</v>
      </c>
    </row>
    <row r="47" spans="1:23" ht="17.25" customHeight="1">
      <c r="A47" s="39"/>
      <c r="B47" s="40"/>
      <c r="D47" s="41"/>
      <c r="E47" s="42" t="s">
        <v>30</v>
      </c>
      <c r="F47" s="43" t="s">
        <v>40</v>
      </c>
      <c r="G47" s="44">
        <f>SUMIFS(G35:G46,E35:E46,"대변")-SUMIFS(G35:G46,E35:E46,"차변")</f>
        <v>0</v>
      </c>
      <c r="H47" s="22"/>
      <c r="I47" s="23"/>
      <c r="K47" s="41"/>
      <c r="L47" s="42" t="s">
        <v>30</v>
      </c>
      <c r="M47" s="43" t="s">
        <v>40</v>
      </c>
      <c r="N47" s="44">
        <f>SUMIFS(N35:N46,L35:L46,"대변")-SUMIFS(N35:N46,L35:L46,"차변")</f>
        <v>-5.8207660913467407E-11</v>
      </c>
      <c r="O47" s="22"/>
      <c r="P47" s="23"/>
      <c r="R47" s="41"/>
      <c r="S47" s="42" t="s">
        <v>30</v>
      </c>
      <c r="T47" s="43" t="s">
        <v>40</v>
      </c>
      <c r="U47" s="44">
        <f>SUMIFS(U35:U46,S35:S46,"대변")-SUMIFS(U35:U46,S35:S46,"차변")</f>
        <v>0</v>
      </c>
      <c r="V47" s="22"/>
      <c r="W47" s="23"/>
    </row>
  </sheetData>
  <mergeCells count="2">
    <mergeCell ref="Y4:Y5"/>
    <mergeCell ref="Z4:AB4"/>
  </mergeCells>
  <phoneticPr fontId="2" type="noConversion"/>
  <dataValidations count="1">
    <dataValidation type="list" sqref="C2" xr:uid="{29750688-9DB7-4A42-B2F8-B83FE99F92A1}">
      <formula1>"1월,2월,3월,4월,5월,6월,7월,8월,9월,10월,11월,12월"</formula1>
      <formula2>0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Hwihyun Kim</dc:creator>
  <cp:lastModifiedBy>Hwihyun Kim</cp:lastModifiedBy>
  <dcterms:created xsi:type="dcterms:W3CDTF">2026-09-02T07:10:30Z</dcterms:created>
  <dcterms:modified xsi:type="dcterms:W3CDTF">2026-09-02T07:40:26Z</dcterms:modified>
</cp:coreProperties>
</file>